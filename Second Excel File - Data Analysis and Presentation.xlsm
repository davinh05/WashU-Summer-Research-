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n\Downloads\"/>
    </mc:Choice>
  </mc:AlternateContent>
  <xr:revisionPtr revIDLastSave="0" documentId="8_{92C47342-3E64-49FF-AEC1-41C48CF979F9}" xr6:coauthVersionLast="47" xr6:coauthVersionMax="47" xr10:uidLastSave="{00000000-0000-0000-0000-000000000000}"/>
  <bookViews>
    <workbookView xWindow="-19310" yWindow="550" windowWidth="19420" windowHeight="10300" activeTab="5" xr2:uid="{4A54BE20-41C6-4DE1-8128-5AEFE2709886}"/>
  </bookViews>
  <sheets>
    <sheet name="1HZ - Tot Analysis" sheetId="59" r:id="rId1"/>
    <sheet name="20HZ - Tot Analysis" sheetId="13" r:id="rId2"/>
    <sheet name="TEMPLATE 1HZ - GLU Data" sheetId="54" r:id="rId3"/>
    <sheet name="TEMPLATE 1HZ - BHB Data" sheetId="57" r:id="rId4"/>
    <sheet name="TEMPLATE 20HZ - GLU Data" sheetId="10" r:id="rId5"/>
    <sheet name="TEMPLATE 20HZ - BHB Data" sheetId="11" r:id="rId6"/>
  </sheets>
  <definedNames>
    <definedName name="_xleta.AVERAGE" hidden="1" xlm="1">#NAME?</definedName>
    <definedName name="_xleta.COLUMN" hidden="1" xlm="1">#NAME?</definedName>
    <definedName name="_xleta.COUNT" hidden="1" xlm="1">#NAME?</definedName>
    <definedName name="_xlpm._col" hidden="1" xlm="1">#NAME?</definedName>
    <definedName name="_xlpm.column" hidden="1" xlm="1">#NAME?</definedName>
    <definedName name="_xlpm.count" hidden="1" xlm="1">#NAME?</definedName>
    <definedName name="_xlpm.count_sec" hidden="1" xlm="1">#NAME?</definedName>
    <definedName name="_xlpm.F" hidden="1" xlm="1">#NAME?</definedName>
    <definedName name="_xlpm.f_col" hidden="1" xlm="1">#NAME?</definedName>
    <definedName name="_xlpm.FO" hidden="1" xlm="1">#NAME?</definedName>
    <definedName name="_xlpm.fo_col" hidden="1" xlm="1">#NAME?</definedName>
    <definedName name="_xlpm.FOU" hidden="1" xlm="1">#NAME?</definedName>
    <definedName name="_xlpm.fou_col" hidden="1" xlm="1">#NAME?</definedName>
    <definedName name="_xlpm.FOUR" hidden="1" xlm="1">#NAME?</definedName>
    <definedName name="_xlpm.four_col" hidden="1" xlm="1">#NAME?</definedName>
    <definedName name="_xlpm.fourh_col" hidden="1" xlm="1">#NAME?</definedName>
    <definedName name="_xlpm.fourht_col" hidden="1" xlm="1">#NAME?</definedName>
    <definedName name="_xlpm.FOURT" hidden="1" xlm="1">#NAME?</definedName>
    <definedName name="_xlpm.fourt_col" hidden="1" xlm="1">#NAME?</definedName>
    <definedName name="_xlpm.FOURTH" hidden="1" xlm="1">#NAME?</definedName>
    <definedName name="_xlpm.fourth_" hidden="1" xlm="1">#NAME?</definedName>
    <definedName name="_xlpm.fourth_c" hidden="1" xlm="1">#NAME?</definedName>
    <definedName name="_xlpm.fourth_co" hidden="1" xlm="1">#NAME?</definedName>
    <definedName name="_xlpm.fourth_col" hidden="1" xlm="1">#NAME?</definedName>
    <definedName name="_xlpm.get_synch_block" hidden="1" xlm="1">#NAME?</definedName>
    <definedName name="_xlpm.rows_down" hidden="1" xlm="1">#NAME?</definedName>
    <definedName name="_xlpm.second_col" hidden="1" xlm="1">#NAME?</definedName>
    <definedName name="_xlpm.seconds" hidden="1" xlm="1">#NAME?</definedName>
    <definedName name="_xlpm.t_col" hidden="1" xlm="1">#NAME?</definedName>
    <definedName name="_xlpm.th_col" hidden="1" xlm="1">#NAME?</definedName>
    <definedName name="_xlpm.thi_col" hidden="1" xlm="1">#NAME?</definedName>
    <definedName name="_xlpm.thir_col" hidden="1" xlm="1">#NAME?</definedName>
    <definedName name="_xlpm.third_col" hidden="1" xlm="1">#NAME?</definedName>
    <definedName name="_xlpm.thr_col" hidden="1" xlm="1">#NAME?</definedName>
    <definedName name="_xlpm.thri_col" hidden="1" xlm="1">#NAME?</definedName>
    <definedName name="_xlpm.thrid_col" hidden="1" xlm="1">#NAME?</definedName>
    <definedName name="_xlpm.total" hidden="1" xlm="1">#NAME?</definedName>
    <definedName name="TESTASYNCH" localSheetId="3">_xlfn.LAMBDA(_xlpm.column,_xlpm.seconds, IFERROR( _xlfn.LET( _xlpm.rows_down, MATCH("Asynch.", _xlfn.CHOOSECOLS('TEMPLATE 1HZ - BHB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BHB Data'!$AD$1, _xlpm.rows_down, _xlpm.column, MATCH("Spon.", _xlfn.CHOOSECOLS('TEMPLATE 1HZ - BHB Data'!$AD$1:$IA$30, _xlpm.column), 0)-_xlpm.rows_down-1, 2), _xlpm.second_col, INDEX(_xlpm.get_synch_block, , 1), _xlpm.count_sec, COUNTIFS(_xlpm.second_col, "&gt;" &amp; (_xlpm.seconds - 0.1), _xlpm.second_col, "&lt;" &amp; (_xlpm.seconds + 0.1)), _xlpm.count_sec), 0))</definedName>
    <definedName name="TESTASYNCH" localSheetId="2">_xlfn.LAMBDA(_xlpm.column,_xlpm.seconds, IFERROR( _xlfn.LET( _xlpm.rows_down, MATCH("Asynch.", _xlfn.CHOOSECOLS('TEMPLATE 1HZ - GLU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GLU Data'!$AD$1, _xlpm.rows_down, _xlpm.column, MATCH("Spon.", _xlfn.CHOOSECOLS('TEMPLATE 1HZ - GLU Data'!$AD$1:$IA$30, _xlpm.column), 0)-_xlpm.rows_down-1, 2), _xlpm.second_col, INDEX(_xlpm.get_synch_block, , 1), _xlpm.count_sec, COUNTIFS(_xlpm.second_col, "&gt;" &amp; (_xlpm.seconds - 0.1), _xlpm.second_col, "&lt;" &amp; (_xlpm.seconds + 0.1)), _xlpm.count_sec), 0))</definedName>
    <definedName name="TESTASYNCH">_xlfn.LAMBDA(_xlpm.column,_xlpm.seconds, IFERROR( _xlfn.LET( _xlpm.rows_down, MATCH("Asynch.", _xlfn.CHOOSECOLS(#REF!, _xlpm.column), 0)-1,                                                                                                                                                                                                                         _xlpm.get_synch_block, OFFSET(#REF!, _xlpm.rows_down, _xlpm.column, MATCH("Spon.", _xlfn.CHOOSECOLS(#REF!, _xlpm.column), 0)-_xlpm.rows_down-1, 2), _xlpm.second_col, INDEX(_xlpm.get_synch_block, , 1), _xlpm.count_sec, COUNTIFS(_xlpm.second_col, "&gt;" &amp; (_xlpm.seconds - 0.4), _xlpm.second_col, "&lt;" &amp; (_xlpm.seconds + 0.4)), _xlpm.count_sec), 0))</definedName>
    <definedName name="TESTINTENSITYASYNCH" localSheetId="3">_xlfn.LAMBDA(_xlpm.column,_xlpm.seconds, IFERROR( _xlfn.LET( _xlpm.rows_down, MATCH("Asynch.", _xlfn.CHOOSECOLS('TEMPLATE 1HZ - BHB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BHB Data'!$AD$1, _xlpm.rows_down, _xlpm.column, MATCH("Spon.", _xlfn.CHOOSECOLS('TEMPLATE 1HZ - BHB Data'!$AD$1:$IA$30, _xlpm.column), 0)-_xlpm.rows_down-1, 2), _xlpm.second_col, INDEX(_xlpm.get_synch_block, , 1), _xlpm.third_col, INDEX(_xlpm.get_synch_block, , 2), _xlpm.count, SUMIFS(_xlpm.third_col, _xlpm.second_col, "&gt;=" &amp; (_xlpm.seconds - 0.1), _xlpm.second_col, "&lt;=" &amp; (_xlpm.seconds + 0.1)), _xlpm.count), 0))</definedName>
    <definedName name="TESTINTENSITYASYNCH" localSheetId="2">_xlfn.LAMBDA(_xlpm.column,_xlpm.seconds, IFERROR( _xlfn.LET( _xlpm.rows_down, MATCH("Asynch.", _xlfn.CHOOSECOLS('TEMPLATE 1HZ - GLU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GLU Data'!$AD$1, _xlpm.rows_down, _xlpm.column, MATCH("Spon.", _xlfn.CHOOSECOLS('TEMPLATE 1HZ - GLU Data'!$AD$1:$IA$30, _xlpm.column), 0)-_xlpm.rows_down-1, 2), _xlpm.second_col, INDEX(_xlpm.get_synch_block, , 1), _xlpm.third_col, INDEX(_xlpm.get_synch_block, , 2), _xlpm.count, SUMIFS(_xlpm.third_col, _xlpm.second_col, "&gt;=" &amp; (_xlpm.seconds - 0.1), _xlpm.second_col, "&lt;=" &amp; (_xlpm.seconds + 0.1)), _xlpm.count), 0))</definedName>
    <definedName name="TESTINTENSITYASYNCH">_xlfn.LAMBDA(_xlpm.column,_xlpm.seconds, IFERROR( _xlfn.LET( _xlpm.rows_down, MATCH("Asynch.", _xlfn.CHOOSECOLS(#REF!, _xlpm.column), 0)-1,                                                                                                                                                                                                                         _xlpm.get_synch_block, OFFSET(#REF!, _xlpm.rows_down, _xlpm.column, MATCH("Spon.", _xlfn.CHOOSECOLS(#REF!, _xlpm.column), 0)-_xlpm.rows_down-1, 2), _xlpm.second_col, INDEX(_xlpm.get_synch_block, , 1), _xlpm.third_col, INDEX(_xlpm.get_synch_block, , 2), _xlpm.count, SUMIFS(_xlpm.third_col, _xlpm.second_col, "&gt;=" &amp; (_xlpm.seconds - 0.4), _xlpm.second_col, "&lt;=" &amp; (_xlpm.seconds + 0.4)), _xlpm.count), 0))</definedName>
    <definedName name="TESTINTENSITYSPON" localSheetId="3">_xlfn.LAMBDA(_xlpm.column,_xlpm.seconds, IFERROR( _xlfn.LET( _xlpm.rows_down, MATCH("Spon.", _xlfn.CHOOSECOLS('TEMPLATE 1HZ - BHB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BHB Data'!$AD$1, _xlpm.rows_down, _xlpm.column, 20, 2), _xlpm.second_col, INDEX(_xlpm.get_synch_block, , 1), _xlpm.third_col, INDEX(_xlpm.get_synch_block, , 2), _xlpm.count, SUMIF(_xlpm.second_col, "&gt;" &amp; _xlpm.seconds, _xlpm.third_col), _xlpm.count), 0))</definedName>
    <definedName name="TESTINTENSITYSPON" localSheetId="2">_xlfn.LAMBDA(_xlpm.column,_xlpm.seconds, IFERROR( _xlfn.LET( _xlpm.rows_down, MATCH("Spon.", _xlfn.CHOOSECOLS('TEMPLATE 1HZ - GLU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GLU Data'!$AD$1, _xlpm.rows_down, _xlpm.column, 20, 2), _xlpm.second_col, INDEX(_xlpm.get_synch_block, , 1), _xlpm.third_col, INDEX(_xlpm.get_synch_block, , 2), _xlpm.count, SUMIF(_xlpm.second_col, "&gt;" &amp; _xlpm.seconds, _xlpm.third_col), _xlpm.count), 0))</definedName>
    <definedName name="TESTINTENSITYSPON">_xlfn.LAMBDA(_xlpm.column,_xlpm.seconds, IFERROR( _xlfn.LET( _xlpm.rows_down, MATCH("Spon.", _xlfn.CHOOSECOLS(#REF!, _xlpm.column), 0)-1,                                                                                                                                                                                                                         _xlpm.get_synch_block, OFFSET(#REF!, _xlpm.rows_down, _xlpm.column, 15, 2), _xlpm.second_col, INDEX(_xlpm.get_synch_block, , 1), _xlpm.third_col, INDEX(_xlpm.get_synch_block, , 2), _xlpm.count, SUMIF(_xlpm.third_col, "&gt;" &amp; _xlpm.seconds), _xlpm.count), 0))</definedName>
    <definedName name="TESTINTENSITYSYNCH" localSheetId="3">_xlfn.LAMBDA(_xlpm.column,_xlpm.seconds, IFERROR( _xlfn.LET( _xlpm.get_synch_block, OFFSET('TEMPLATE 1HZ - BHB Data'!$AD$1, 2, _xlpm.column, MATCH("Asynch.", _xlfn.CHOOSECOLS('TEMPLATE 1HZ - BHB Data'!$AD$1:$IA$30, _xlpm.column), 0)-1, 2), _xlpm.second_col, INDEX(_xlpm.get_synch_block, , 1), _xlpm.third_col, INDEX(_xlpm.get_synch_block, , 2), _xlpm.count, SUMIFS(_xlpm.third_col, _xlpm.second_col, "&gt;=" &amp; (_xlpm.seconds - 0.15), _xlpm.second_col, "&lt;=" &amp; (_xlpm.seconds + 0.15)), _xlpm.count),0))</definedName>
    <definedName name="TESTINTENSITYSYNCH" localSheetId="2">_xlfn.LAMBDA(_xlpm.column,_xlpm.seconds, IFERROR( _xlfn.LET( _xlpm.get_synch_block, OFFSET('TEMPLATE 1HZ - GLU Data'!$AD$1, 2, _xlpm.column, MATCH("Asynch.", _xlfn.CHOOSECOLS('TEMPLATE 1HZ - GLU Data'!$AD$1:$IA$30, _xlpm.column), 0)-1, 2), _xlpm.second_col, INDEX(_xlpm.get_synch_block, , 1), _xlpm.third_col, INDEX(_xlpm.get_synch_block, , 2), _xlpm.count, SUMIFS(_xlpm.third_col, _xlpm.second_col, "&gt;=" &amp; (_xlpm.seconds - 0.15), _xlpm.second_col, "&lt;=" &amp; (_xlpm.seconds + 0.15)), _xlpm.count),0))</definedName>
    <definedName name="TESTINTENSITYSYNCH">_xlfn.LAMBDA(_xlpm.column,_xlpm.seconds, IFERROR( _xlfn.LET( _xlpm.get_synch_block, OFFSET(#REF!, 2, _xlpm.column, MATCH("Asynch.", _xlfn.CHOOSECOLS(#REF!, _xlpm.column), 0)-1, 2), _xlpm.second_col, INDEX(_xlpm.get_synch_block, , 1), _xlpm.third_col, INDEX(_xlpm.get_synch_block, , 2), _xlpm.count, SUMIFS(_xlpm.third_col, _xlpm.second_col, "&gt;=" &amp; (_xlpm.seconds - 0.1), _xlpm.second_col, "&lt;=" &amp; (_xlpm.seconds + 0.1)), _xlpm.count),0))</definedName>
    <definedName name="TESTSPON" localSheetId="3">_xlfn.LAMBDA(_xlpm.column,_xlpm.seconds, IFERROR( _xlfn.LET( _xlpm.rows_down, MATCH("Spon.", _xlfn.CHOOSECOLS('TEMPLATE 1HZ - BHB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BHB Data'!$AD$1, _xlpm.rows_down, _xlpm.column, 15, 2), _xlpm.second_col, INDEX(_xlpm.get_synch_block, , 1), _xlpm.count_sec, COUNTIFS(_xlpm.second_col, "&gt;" &amp; _xlpm.seconds), _xlpm.count_sec), 0))</definedName>
    <definedName name="TESTSPON" localSheetId="2">_xlfn.LAMBDA(_xlpm.column,_xlpm.seconds, IFERROR( _xlfn.LET( _xlpm.rows_down, MATCH("Spon.", _xlfn.CHOOSECOLS('TEMPLATE 1HZ - GLU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GLU Data'!$AD$1, _xlpm.rows_down, _xlpm.column, 15, 2), _xlpm.second_col, INDEX(_xlpm.get_synch_block, , 1), _xlpm.count_sec, COUNTIFS(_xlpm.second_col, "&gt;" &amp; _xlpm.seconds), _xlpm.count_sec), 0))</definedName>
    <definedName name="TESTSPON">_xlfn.LAMBDA(_xlpm.column,_xlpm.seconds, IFERROR( _xlfn.LET( _xlpm.rows_down, MATCH("Spon.", _xlfn.CHOOSECOLS(#REF!, _xlpm.column), 0)-1,                                                                                                                                                                                                                         _xlpm.get_synch_block, OFFSET(#REF!, _xlpm.rows_down, _xlpm.column, 15, 2), _xlpm.second_col, INDEX(_xlpm.get_synch_block, , 1), _xlpm.count_sec, COUNTIFS(_xlpm.second_col, "&gt;" &amp; _xlpm.seconds), _xlpm.count_sec), 0))</definedName>
    <definedName name="TESTSYNCH" localSheetId="3">_xlfn.LAMBDA(_xlpm.column,_xlpm.seconds, IFERROR( _xlfn.LET( _xlpm.get_synch_block, OFFSET('TEMPLATE 1HZ - BHB Data'!$AD$1, 2, _xlpm.column, MATCH("Asynch.", _xlfn.CHOOSECOLS('TEMPLATE 1HZ - BHB Data'!$AD$1:$IA$30, _xlpm.column), 0)-1, 2), _xlpm.second_col, INDEX(_xlpm.get_synch_block, , 1), _xlpm.count, COUNTIFS(_xlpm.second_col, "&gt;=" &amp; (_xlpm.seconds - 0.15), _xlpm.second_col, "&lt;=" &amp; (_xlpm.seconds + 0.15)), _xlpm.count), 0))</definedName>
    <definedName name="TESTSYNCH" localSheetId="2">_xlfn.LAMBDA(_xlpm.column,_xlpm.seconds, IFERROR( _xlfn.LET( _xlpm.get_synch_block, OFFSET('TEMPLATE 1HZ - GLU Data'!$AD$1, 2, _xlpm.column, MATCH("Asynch.", _xlfn.CHOOSECOLS('TEMPLATE 1HZ - GLU Data'!$AD$1:$IA$30, _xlpm.column), 0)-1, 2), _xlpm.second_col, INDEX(_xlpm.get_synch_block, , 1), _xlpm.count, COUNTIFS(_xlpm.second_col, "&gt;=" &amp; (_xlpm.seconds - 0.15), _xlpm.second_col, "&lt;=" &amp; (_xlpm.seconds + 0.15)), _xlpm.count), 0))</definedName>
    <definedName name="TESTSYNCH">_xlfn.LAMBDA(_xlpm.column,_xlpm.seconds, IFERROR( _xlfn.LET( _xlpm.get_synch_block, OFFSET(#REF!, 2, _xlpm.column, MATCH("Asynch.", _xlfn.CHOOSECOLS(#REF!, _xlpm.column), 0)-1, 2), _xlpm.second_col, INDEX(_xlpm.get_synch_block, , 1), _xlpm.count, COUNTIFS(_xlpm.second_col, "&gt;=" &amp; (_xlpm.seconds - 0.1), _xlpm.second_col, "&lt;=" &amp; (_xlpm.seconds + 0.1)), _xlpm.count), 0))</definedName>
    <definedName name="TESTVESICLESASYNC" localSheetId="3">_xlfn.LAMBDA(_xlpm.column,_xlpm.seconds, IFERROR( _xlfn.LET( _xlpm.rows_down, MATCH("Asynch.", _xlfn.CHOOSECOLS('TEMPLATE 1HZ - BHB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BHB Data'!$AD$1, _xlpm.rows_down, _xlpm.column, MATCH("Spon.", _xlfn.CHOOSECOLS('TEMPLATE 1HZ - BHB Data'!$AD$1:$IA$30, _xlpm.column), 0)-_xlpm.rows_down-1, 3), _xlpm.second_col, INDEX(_xlpm.get_synch_block, , 1), _xlpm.fourth_col, INDEX(_xlpm.get_synch_block, , 3), _xlpm.count, SUMIFS(_xlpm.fourth_col, _xlpm.second_col, "&gt;=" &amp; (_xlpm.seconds - 0.1), _xlpm.second_col, "&lt;=" &amp; (_xlpm.seconds + 0.1)), _xlpm.count), 0))</definedName>
    <definedName name="TESTVESICLESASYNC" localSheetId="2">_xlfn.LAMBDA(_xlpm.column,_xlpm.seconds, IFERROR( _xlfn.LET( _xlpm.rows_down, MATCH("Asynch.", _xlfn.CHOOSECOLS('TEMPLATE 1HZ - GLU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GLU Data'!$AD$1, _xlpm.rows_down, _xlpm.column, MATCH("Spon.", _xlfn.CHOOSECOLS('TEMPLATE 1HZ - GLU Data'!$AD$1:$IA$30, _xlpm.column), 0)-_xlpm.rows_down-1, 3), _xlpm.second_col, INDEX(_xlpm.get_synch_block, , 1), _xlpm.fourth_col, INDEX(_xlpm.get_synch_block, , 3), _xlpm.count, SUMIFS(_xlpm.fourth_col, _xlpm.second_col, "&gt;=" &amp; (_xlpm.seconds - 0.1), _xlpm.second_col, "&lt;=" &amp; (_xlpm.seconds + 0.1)), _xlpm.count), 0))</definedName>
    <definedName name="TESTVESICLESASYNC">_xlfn.LAMBDA(_xlpm.column,_xlpm.seconds, IFERROR( _xlfn.LET( _xlpm.rows_down, MATCH("Asynch.", _xlfn.CHOOSECOLS(#REF!, _xlpm.column), 0)-1,                                                                                                                                                                                                                         _xlpm.get_synch_block, OFFSET(#REF!, _xlpm.rows_down, _xlpm.column, MATCH("Spon.", _xlfn.CHOOSECOLS(#REF!, _xlpm.column), 0)-_xlpm.rows_down-1, 3), _xlpm.second_col, INDEX(_xlpm.get_synch_block, , 1), _xlpm.fourth_col, INDEX(_xlpm.get_synch_block, , 3), _xlpm.count, SUMIFS(_xlpm.fourth_col, _xlpm.second_col, "&gt;=" &amp; (_xlpm.seconds - 0.1), _xlpm.second_col, "&lt;=" &amp; (_xlpm.seconds + 0.1)), _xlpm.count), 0))</definedName>
    <definedName name="TESTVESICLESSPON" localSheetId="3">_xlfn.LAMBDA(_xlpm.column,_xlpm.seconds, IFERROR( _xlfn.LET( _xlpm.rows_down, MATCH("Spon.", _xlfn.CHOOSECOLS('TEMPLATE 1HZ - BHB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BHB Data'!$AD$1, _xlpm.rows_down, _xlpm.column, 20, 3), _xlpm.second_col, INDEX(_xlpm.get_synch_block, , 1), _xlpm.fourth_col, INDEX(_xlpm.get_synch_block, , 3), _xlpm.count, SUMIF(_xlpm.second_col, "&gt;" &amp; _xlpm.seconds, _xlpm.fourth_col), _xlpm.count), 0))</definedName>
    <definedName name="TESTVESICLESSPON" localSheetId="2">_xlfn.LAMBDA(_xlpm.column,_xlpm.seconds, IFERROR( _xlfn.LET( _xlpm.rows_down, MATCH("Spon.", _xlfn.CHOOSECOLS('TEMPLATE 1HZ - GLU Data'!$AD$1:$IA$30, _xlpm.column), 0)-1,                                                                                                                                                                                                                         _xlpm.get_synch_block, OFFSET('TEMPLATE 1HZ - GLU Data'!$AD$1, _xlpm.rows_down, _xlpm.column, 20, 3), _xlpm.second_col, INDEX(_xlpm.get_synch_block, , 1), _xlpm.fourth_col, INDEX(_xlpm.get_synch_block, , 3), _xlpm.count, SUMIF(_xlpm.second_col, "&gt;" &amp; _xlpm.seconds, _xlpm.fourth_col), _xlpm.count), 0))</definedName>
    <definedName name="TESTVESICLESSPON">_xlfn.LAMBDA(_xlpm.column,_xlpm.seconds, IFERROR( _xlfn.LET( _xlpm.rows_down, MATCH("Spon.", _xlfn.CHOOSECOLS(#REF!, _xlpm.column), 0)-1,                                                                                                                                                                                                                         _xlpm.get_synch_block, OFFSET(#REF!, _xlpm.rows_down, _xlpm.column, 20, 3), _xlpm.second_col, INDEX(_xlpm.get_synch_block, , 1), _xlpm.fourth_col, INDEX(_xlpm.get_synch_block, , 3), _xlpm.count, SUMIF(_xlpm.second_col, "&gt;" &amp; _xlpm.seconds, _xlpm.fourth_col), _xlpm.count), 0))</definedName>
    <definedName name="TESTVESICLESSYNC" localSheetId="3">_xlfn.LAMBDA(_xlpm.column,_xlpm.seconds, IFERROR( _xlfn.LET( _xlpm.get_synch_block, OFFSET('TEMPLATE 1HZ - BHB Data'!$AD$1, 2, _xlpm.column, MATCH("Asynch.", _xlfn.CHOOSECOLS('TEMPLATE 1HZ - BHB Data'!$AD$1:$IA$30, _xlpm.column), 0)-1, 3), _xlpm.second_col, INDEX(_xlpm.get_synch_block, , 1), _xlpm.fourth_col, INDEX(_xlpm.get_synch_block, , 3), _xlpm.count, SUMIFS(_xlpm.fourth_col, _xlpm.second_col, "&gt;=" &amp; (_xlpm.seconds - 0.15), _xlpm.second_col, "&lt;=" &amp; (_xlpm.seconds + 0.15)), _xlpm.count),0))</definedName>
    <definedName name="TESTVESICLESSYNC" localSheetId="2">_xlfn.LAMBDA(_xlpm.column,_xlpm.seconds, IFERROR( _xlfn.LET( _xlpm.get_synch_block, OFFSET('TEMPLATE 1HZ - GLU Data'!$AD$1, 2, _xlpm.column, MATCH("Asynch.", _xlfn.CHOOSECOLS('TEMPLATE 1HZ - GLU Data'!$AD$1:$IA$30, _xlpm.column), 0)-1, 3), _xlpm.second_col, INDEX(_xlpm.get_synch_block, , 1), _xlpm.fourth_col, INDEX(_xlpm.get_synch_block, , 3), _xlpm.count, SUMIFS(_xlpm.fourth_col, _xlpm.second_col, "&gt;=" &amp; (_xlpm.seconds - 0.15), _xlpm.second_col, "&lt;=" &amp; (_xlpm.seconds + 0.15)), _xlpm.count),0))</definedName>
    <definedName name="TESTVESICLESSYNC">_xlfn.LAMBDA(_xlpm.column,_xlpm.seconds, IFERROR( _xlfn.LET( _xlpm.get_synch_block, OFFSET(#REF!, 2, _xlpm.column, MATCH("Asynch.", _xlfn.CHOOSECOLS(#REF!, _xlpm.column), 0)-1, 3), _xlpm.second_col, INDEX(_xlpm.get_synch_block, , 1), _xlpm.fourth_col, INDEX(_xlpm.get_synch_block, , 3), _xlpm.count, SUMIFS(_xlpm.fourth_col, _xlpm.second_col, "&gt;=" &amp; (_xlpm.seconds - 0.15), _xlpm.second_col, "&lt;=" &amp; (_xlpm.seconds + 0.15)), _xlpm.count),0))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8" i="54" l="1"/>
  <c r="G44" i="54"/>
  <c r="G44" i="57"/>
  <c r="G38" i="57"/>
  <c r="G39" i="57"/>
  <c r="N2" i="13"/>
  <c r="G2" i="13"/>
  <c r="B4" i="1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3" i="11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B229" i="10" s="1"/>
  <c r="B230" i="10" s="1"/>
  <c r="B231" i="10" s="1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B267" i="10" s="1"/>
  <c r="B268" i="10" s="1"/>
  <c r="B269" i="10" s="1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B305" i="10" s="1"/>
  <c r="B306" i="10" s="1"/>
  <c r="B307" i="10" s="1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B343" i="10" s="1"/>
  <c r="B344" i="10" s="1"/>
  <c r="B345" i="10" s="1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B381" i="10" s="1"/>
  <c r="B382" i="10" s="1"/>
  <c r="B383" i="10" s="1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3" i="10"/>
  <c r="A3" i="13"/>
  <c r="G43" i="57" l="1"/>
  <c r="G42" i="57"/>
  <c r="G41" i="57"/>
  <c r="G40" i="57"/>
  <c r="Z4" i="57"/>
  <c r="Z6" i="57" s="1"/>
  <c r="X4" i="57"/>
  <c r="X6" i="57" s="1"/>
  <c r="V4" i="57"/>
  <c r="V6" i="57" s="1"/>
  <c r="P4" i="57"/>
  <c r="P6" i="57" s="1"/>
  <c r="N4" i="57"/>
  <c r="N6" i="57" s="1"/>
  <c r="L4" i="57"/>
  <c r="L6" i="57" s="1"/>
  <c r="H4" i="57"/>
  <c r="W3" i="57"/>
  <c r="W6" i="57" s="1"/>
  <c r="U3" i="57"/>
  <c r="U6" i="57" s="1"/>
  <c r="S3" i="57"/>
  <c r="S7" i="57" s="1"/>
  <c r="M3" i="57"/>
  <c r="M6" i="57" s="1"/>
  <c r="K3" i="57"/>
  <c r="K6" i="57" s="1"/>
  <c r="I3" i="57"/>
  <c r="I6" i="57" s="1"/>
  <c r="B3" i="57"/>
  <c r="B4" i="57" s="1"/>
  <c r="B5" i="57" s="1"/>
  <c r="B6" i="57" s="1"/>
  <c r="B7" i="57" s="1"/>
  <c r="B8" i="57" s="1"/>
  <c r="B9" i="57" s="1"/>
  <c r="B10" i="57" s="1"/>
  <c r="B11" i="57" s="1"/>
  <c r="B12" i="57" s="1"/>
  <c r="B13" i="57" s="1"/>
  <c r="B14" i="57" s="1"/>
  <c r="B15" i="57" s="1"/>
  <c r="B16" i="57" s="1"/>
  <c r="B17" i="57" s="1"/>
  <c r="B18" i="57" s="1"/>
  <c r="B19" i="57" s="1"/>
  <c r="B20" i="57" s="1"/>
  <c r="B21" i="57" s="1"/>
  <c r="B22" i="57" s="1"/>
  <c r="B23" i="57" s="1"/>
  <c r="B24" i="57" s="1"/>
  <c r="B25" i="57" s="1"/>
  <c r="B26" i="57" s="1"/>
  <c r="B27" i="57" s="1"/>
  <c r="B28" i="57" s="1"/>
  <c r="B29" i="57" s="1"/>
  <c r="B30" i="57" s="1"/>
  <c r="B31" i="57" s="1"/>
  <c r="B32" i="57" s="1"/>
  <c r="B33" i="57" s="1"/>
  <c r="B34" i="57" s="1"/>
  <c r="B35" i="57" s="1"/>
  <c r="B36" i="57" s="1"/>
  <c r="B37" i="57" s="1"/>
  <c r="B38" i="57" s="1"/>
  <c r="B39" i="57" s="1"/>
  <c r="B40" i="57" s="1"/>
  <c r="B41" i="57" s="1"/>
  <c r="B42" i="57" s="1"/>
  <c r="B43" i="57" s="1"/>
  <c r="B44" i="57" s="1"/>
  <c r="B45" i="57" s="1"/>
  <c r="B46" i="57" s="1"/>
  <c r="B47" i="57" s="1"/>
  <c r="B48" i="57" s="1"/>
  <c r="B49" i="57" s="1"/>
  <c r="B50" i="57" s="1"/>
  <c r="B51" i="57" s="1"/>
  <c r="B52" i="57" s="1"/>
  <c r="B53" i="57" s="1"/>
  <c r="B54" i="57" s="1"/>
  <c r="B55" i="57" s="1"/>
  <c r="B56" i="57" s="1"/>
  <c r="B57" i="57" s="1"/>
  <c r="B58" i="57" s="1"/>
  <c r="B59" i="57" s="1"/>
  <c r="B60" i="57" s="1"/>
  <c r="B61" i="57" s="1"/>
  <c r="B62" i="57" s="1"/>
  <c r="B63" i="57" s="1"/>
  <c r="B64" i="57" s="1"/>
  <c r="B65" i="57" s="1"/>
  <c r="B66" i="57" s="1"/>
  <c r="B67" i="57" s="1"/>
  <c r="B68" i="57" s="1"/>
  <c r="B69" i="57" s="1"/>
  <c r="B70" i="57" s="1"/>
  <c r="B71" i="57" s="1"/>
  <c r="B72" i="57" s="1"/>
  <c r="B73" i="57" s="1"/>
  <c r="B74" i="57" s="1"/>
  <c r="B75" i="57" s="1"/>
  <c r="B76" i="57" s="1"/>
  <c r="B77" i="57" s="1"/>
  <c r="B78" i="57" s="1"/>
  <c r="B79" i="57" s="1"/>
  <c r="B80" i="57" s="1"/>
  <c r="B81" i="57" s="1"/>
  <c r="B82" i="57" s="1"/>
  <c r="B83" i="57" s="1"/>
  <c r="B84" i="57" s="1"/>
  <c r="B85" i="57" s="1"/>
  <c r="B86" i="57" s="1"/>
  <c r="B87" i="57" s="1"/>
  <c r="B88" i="57" s="1"/>
  <c r="B89" i="57" s="1"/>
  <c r="B90" i="57" s="1"/>
  <c r="B91" i="57" s="1"/>
  <c r="B92" i="57" s="1"/>
  <c r="B93" i="57" s="1"/>
  <c r="B94" i="57" s="1"/>
  <c r="B95" i="57" s="1"/>
  <c r="B96" i="57" s="1"/>
  <c r="B97" i="57" s="1"/>
  <c r="B98" i="57" s="1"/>
  <c r="B99" i="57" s="1"/>
  <c r="B100" i="57" s="1"/>
  <c r="B101" i="57" s="1"/>
  <c r="B102" i="57" s="1"/>
  <c r="B103" i="57" s="1"/>
  <c r="B104" i="57" s="1"/>
  <c r="B105" i="57" s="1"/>
  <c r="B106" i="57" s="1"/>
  <c r="B107" i="57" s="1"/>
  <c r="B108" i="57" s="1"/>
  <c r="B109" i="57" s="1"/>
  <c r="B110" i="57" s="1"/>
  <c r="B111" i="57" s="1"/>
  <c r="B112" i="57" s="1"/>
  <c r="B113" i="57" s="1"/>
  <c r="B114" i="57" s="1"/>
  <c r="B115" i="57" s="1"/>
  <c r="B116" i="57" s="1"/>
  <c r="B117" i="57" s="1"/>
  <c r="B118" i="57" s="1"/>
  <c r="B119" i="57" s="1"/>
  <c r="B120" i="57" s="1"/>
  <c r="B121" i="57" s="1"/>
  <c r="B122" i="57" s="1"/>
  <c r="B123" i="57" s="1"/>
  <c r="B124" i="57" s="1"/>
  <c r="B125" i="57" s="1"/>
  <c r="B126" i="57" s="1"/>
  <c r="B127" i="57" s="1"/>
  <c r="B128" i="57" s="1"/>
  <c r="B129" i="57" s="1"/>
  <c r="B130" i="57" s="1"/>
  <c r="B131" i="57" s="1"/>
  <c r="B132" i="57" s="1"/>
  <c r="B133" i="57" s="1"/>
  <c r="B134" i="57" s="1"/>
  <c r="B135" i="57" s="1"/>
  <c r="B136" i="57" s="1"/>
  <c r="B137" i="57" s="1"/>
  <c r="B138" i="57" s="1"/>
  <c r="B139" i="57" s="1"/>
  <c r="B140" i="57" s="1"/>
  <c r="B141" i="57" s="1"/>
  <c r="B142" i="57" s="1"/>
  <c r="B143" i="57" s="1"/>
  <c r="B144" i="57" s="1"/>
  <c r="B145" i="57" s="1"/>
  <c r="B146" i="57" s="1"/>
  <c r="B147" i="57" s="1"/>
  <c r="B148" i="57" s="1"/>
  <c r="B149" i="57" s="1"/>
  <c r="B150" i="57" s="1"/>
  <c r="B151" i="57" s="1"/>
  <c r="B152" i="57" s="1"/>
  <c r="B153" i="57" s="1"/>
  <c r="B154" i="57" s="1"/>
  <c r="B155" i="57" s="1"/>
  <c r="B156" i="57" s="1"/>
  <c r="B157" i="57" s="1"/>
  <c r="B158" i="57" s="1"/>
  <c r="B159" i="57" s="1"/>
  <c r="B160" i="57" s="1"/>
  <c r="B161" i="57" s="1"/>
  <c r="B162" i="57" s="1"/>
  <c r="B163" i="57" s="1"/>
  <c r="B164" i="57" s="1"/>
  <c r="B165" i="57" s="1"/>
  <c r="B166" i="57" s="1"/>
  <c r="B167" i="57" s="1"/>
  <c r="B168" i="57" s="1"/>
  <c r="B169" i="57" s="1"/>
  <c r="B170" i="57" s="1"/>
  <c r="B171" i="57" s="1"/>
  <c r="B172" i="57" s="1"/>
  <c r="B173" i="57" s="1"/>
  <c r="B174" i="57" s="1"/>
  <c r="B175" i="57" s="1"/>
  <c r="B176" i="57" s="1"/>
  <c r="B177" i="57" s="1"/>
  <c r="B178" i="57" s="1"/>
  <c r="B179" i="57" s="1"/>
  <c r="B180" i="57" s="1"/>
  <c r="B181" i="57" s="1"/>
  <c r="B182" i="57" s="1"/>
  <c r="B183" i="57" s="1"/>
  <c r="B184" i="57" s="1"/>
  <c r="B185" i="57" s="1"/>
  <c r="B186" i="57" s="1"/>
  <c r="B187" i="57" s="1"/>
  <c r="B188" i="57" s="1"/>
  <c r="B189" i="57" s="1"/>
  <c r="B190" i="57" s="1"/>
  <c r="B191" i="57" s="1"/>
  <c r="B192" i="57" s="1"/>
  <c r="B193" i="57" s="1"/>
  <c r="B194" i="57" s="1"/>
  <c r="B195" i="57" s="1"/>
  <c r="B196" i="57" s="1"/>
  <c r="B197" i="57" s="1"/>
  <c r="B198" i="57" s="1"/>
  <c r="B199" i="57" s="1"/>
  <c r="B200" i="57" s="1"/>
  <c r="B201" i="57" s="1"/>
  <c r="B202" i="57" s="1"/>
  <c r="B203" i="57" s="1"/>
  <c r="B204" i="57" s="1"/>
  <c r="B205" i="57" s="1"/>
  <c r="B206" i="57" s="1"/>
  <c r="B207" i="57" s="1"/>
  <c r="B208" i="57" s="1"/>
  <c r="B209" i="57" s="1"/>
  <c r="B210" i="57" s="1"/>
  <c r="B211" i="57" s="1"/>
  <c r="B212" i="57" s="1"/>
  <c r="B213" i="57" s="1"/>
  <c r="B214" i="57" s="1"/>
  <c r="B215" i="57" s="1"/>
  <c r="B216" i="57" s="1"/>
  <c r="B217" i="57" s="1"/>
  <c r="B218" i="57" s="1"/>
  <c r="B219" i="57" s="1"/>
  <c r="B220" i="57" s="1"/>
  <c r="B221" i="57" s="1"/>
  <c r="B222" i="57" s="1"/>
  <c r="B223" i="57" s="1"/>
  <c r="B224" i="57" s="1"/>
  <c r="B225" i="57" s="1"/>
  <c r="B226" i="57" s="1"/>
  <c r="B227" i="57" s="1"/>
  <c r="B228" i="57" s="1"/>
  <c r="B229" i="57" s="1"/>
  <c r="B230" i="57" s="1"/>
  <c r="B231" i="57" s="1"/>
  <c r="B232" i="57" s="1"/>
  <c r="B233" i="57" s="1"/>
  <c r="B234" i="57" s="1"/>
  <c r="B235" i="57" s="1"/>
  <c r="B236" i="57" s="1"/>
  <c r="B237" i="57" s="1"/>
  <c r="B238" i="57" s="1"/>
  <c r="B239" i="57" s="1"/>
  <c r="B240" i="57" s="1"/>
  <c r="B241" i="57" s="1"/>
  <c r="B242" i="57" s="1"/>
  <c r="B243" i="57" s="1"/>
  <c r="B244" i="57" s="1"/>
  <c r="B245" i="57" s="1"/>
  <c r="B246" i="57" s="1"/>
  <c r="B247" i="57" s="1"/>
  <c r="B248" i="57" s="1"/>
  <c r="B249" i="57" s="1"/>
  <c r="B250" i="57" s="1"/>
  <c r="B251" i="57" s="1"/>
  <c r="B252" i="57" s="1"/>
  <c r="B253" i="57" s="1"/>
  <c r="B254" i="57" s="1"/>
  <c r="B255" i="57" s="1"/>
  <c r="B256" i="57" s="1"/>
  <c r="B257" i="57" s="1"/>
  <c r="B258" i="57" s="1"/>
  <c r="B259" i="57" s="1"/>
  <c r="B260" i="57" s="1"/>
  <c r="B261" i="57" s="1"/>
  <c r="B262" i="57" s="1"/>
  <c r="B263" i="57" s="1"/>
  <c r="B264" i="57" s="1"/>
  <c r="B265" i="57" s="1"/>
  <c r="B266" i="57" s="1"/>
  <c r="B267" i="57" s="1"/>
  <c r="B268" i="57" s="1"/>
  <c r="B269" i="57" s="1"/>
  <c r="B270" i="57" s="1"/>
  <c r="B271" i="57" s="1"/>
  <c r="B272" i="57" s="1"/>
  <c r="B273" i="57" s="1"/>
  <c r="B274" i="57" s="1"/>
  <c r="B275" i="57" s="1"/>
  <c r="B276" i="57" s="1"/>
  <c r="B277" i="57" s="1"/>
  <c r="B278" i="57" s="1"/>
  <c r="B279" i="57" s="1"/>
  <c r="B280" i="57" s="1"/>
  <c r="B281" i="57" s="1"/>
  <c r="B282" i="57" s="1"/>
  <c r="B283" i="57" s="1"/>
  <c r="B284" i="57" s="1"/>
  <c r="B285" i="57" s="1"/>
  <c r="B286" i="57" s="1"/>
  <c r="B287" i="57" s="1"/>
  <c r="B288" i="57" s="1"/>
  <c r="B289" i="57" s="1"/>
  <c r="B290" i="57" s="1"/>
  <c r="B291" i="57" s="1"/>
  <c r="B292" i="57" s="1"/>
  <c r="B293" i="57" s="1"/>
  <c r="B294" i="57" s="1"/>
  <c r="B295" i="57" s="1"/>
  <c r="B296" i="57" s="1"/>
  <c r="B297" i="57" s="1"/>
  <c r="B298" i="57" s="1"/>
  <c r="B299" i="57" s="1"/>
  <c r="B300" i="57" s="1"/>
  <c r="B301" i="57" s="1"/>
  <c r="B302" i="57" s="1"/>
  <c r="B303" i="57" s="1"/>
  <c r="B304" i="57" s="1"/>
  <c r="B305" i="57" s="1"/>
  <c r="B306" i="57" s="1"/>
  <c r="B307" i="57" s="1"/>
  <c r="B308" i="57" s="1"/>
  <c r="B309" i="57" s="1"/>
  <c r="B310" i="57" s="1"/>
  <c r="B311" i="57" s="1"/>
  <c r="B312" i="57" s="1"/>
  <c r="B313" i="57" s="1"/>
  <c r="B314" i="57" s="1"/>
  <c r="B315" i="57" s="1"/>
  <c r="B316" i="57" s="1"/>
  <c r="B317" i="57" s="1"/>
  <c r="B318" i="57" s="1"/>
  <c r="B319" i="57" s="1"/>
  <c r="B320" i="57" s="1"/>
  <c r="B321" i="57" s="1"/>
  <c r="B322" i="57" s="1"/>
  <c r="B323" i="57" s="1"/>
  <c r="B324" i="57" s="1"/>
  <c r="B325" i="57" s="1"/>
  <c r="B326" i="57" s="1"/>
  <c r="B327" i="57" s="1"/>
  <c r="B328" i="57" s="1"/>
  <c r="B329" i="57" s="1"/>
  <c r="B330" i="57" s="1"/>
  <c r="B331" i="57" s="1"/>
  <c r="B332" i="57" s="1"/>
  <c r="B333" i="57" s="1"/>
  <c r="B334" i="57" s="1"/>
  <c r="B335" i="57" s="1"/>
  <c r="B336" i="57" s="1"/>
  <c r="B337" i="57" s="1"/>
  <c r="B338" i="57" s="1"/>
  <c r="B339" i="57" s="1"/>
  <c r="B340" i="57" s="1"/>
  <c r="B341" i="57" s="1"/>
  <c r="B342" i="57" s="1"/>
  <c r="B343" i="57" s="1"/>
  <c r="B344" i="57" s="1"/>
  <c r="B345" i="57" s="1"/>
  <c r="B346" i="57" s="1"/>
  <c r="B347" i="57" s="1"/>
  <c r="B348" i="57" s="1"/>
  <c r="B349" i="57" s="1"/>
  <c r="B350" i="57" s="1"/>
  <c r="B351" i="57" s="1"/>
  <c r="B352" i="57" s="1"/>
  <c r="B353" i="57" s="1"/>
  <c r="B354" i="57" s="1"/>
  <c r="B355" i="57" s="1"/>
  <c r="B356" i="57" s="1"/>
  <c r="B357" i="57" s="1"/>
  <c r="B358" i="57" s="1"/>
  <c r="B359" i="57" s="1"/>
  <c r="B360" i="57" s="1"/>
  <c r="B361" i="57" s="1"/>
  <c r="B362" i="57" s="1"/>
  <c r="B363" i="57" s="1"/>
  <c r="B364" i="57" s="1"/>
  <c r="B365" i="57" s="1"/>
  <c r="B366" i="57" s="1"/>
  <c r="B367" i="57" s="1"/>
  <c r="B368" i="57" s="1"/>
  <c r="B369" i="57" s="1"/>
  <c r="B370" i="57" s="1"/>
  <c r="B371" i="57" s="1"/>
  <c r="B372" i="57" s="1"/>
  <c r="B373" i="57" s="1"/>
  <c r="B374" i="57" s="1"/>
  <c r="B375" i="57" s="1"/>
  <c r="B376" i="57" s="1"/>
  <c r="B377" i="57" s="1"/>
  <c r="B378" i="57" s="1"/>
  <c r="B379" i="57" s="1"/>
  <c r="B380" i="57" s="1"/>
  <c r="B381" i="57" s="1"/>
  <c r="B382" i="57" s="1"/>
  <c r="B383" i="57" s="1"/>
  <c r="B384" i="57" s="1"/>
  <c r="B385" i="57" s="1"/>
  <c r="B386" i="57" s="1"/>
  <c r="B387" i="57" s="1"/>
  <c r="B388" i="57" s="1"/>
  <c r="B389" i="57" s="1"/>
  <c r="B390" i="57" s="1"/>
  <c r="B391" i="57" s="1"/>
  <c r="B392" i="57" s="1"/>
  <c r="B393" i="57" s="1"/>
  <c r="B394" i="57" s="1"/>
  <c r="B395" i="57" s="1"/>
  <c r="B396" i="57" s="1"/>
  <c r="B397" i="57" s="1"/>
  <c r="B398" i="57" s="1"/>
  <c r="B399" i="57" s="1"/>
  <c r="B400" i="57" s="1"/>
  <c r="B401" i="57" s="1"/>
  <c r="B402" i="57" s="1"/>
  <c r="F2" i="57"/>
  <c r="AA5" i="57" s="1"/>
  <c r="V24" i="57" s="1"/>
  <c r="G39" i="54"/>
  <c r="AA5" i="54"/>
  <c r="Z4" i="54"/>
  <c r="Z6" i="54" s="1"/>
  <c r="X4" i="54"/>
  <c r="X6" i="54" s="1"/>
  <c r="V4" i="54"/>
  <c r="V6" i="54" s="1"/>
  <c r="T4" i="54"/>
  <c r="T7" i="54" s="1"/>
  <c r="R4" i="54"/>
  <c r="R7" i="54" s="1"/>
  <c r="P4" i="54"/>
  <c r="P6" i="54" s="1"/>
  <c r="N4" i="54"/>
  <c r="N7" i="54" s="1"/>
  <c r="L4" i="54"/>
  <c r="L6" i="54" s="1"/>
  <c r="J4" i="54"/>
  <c r="J6" i="54" s="1"/>
  <c r="H4" i="54"/>
  <c r="Y3" i="54"/>
  <c r="Y7" i="54" s="1"/>
  <c r="W3" i="54"/>
  <c r="W6" i="54" s="1"/>
  <c r="U3" i="54"/>
  <c r="U6" i="54" s="1"/>
  <c r="S3" i="54"/>
  <c r="S7" i="54" s="1"/>
  <c r="Q3" i="54"/>
  <c r="Q6" i="54" s="1"/>
  <c r="O3" i="54"/>
  <c r="O6" i="54" s="1"/>
  <c r="M3" i="54"/>
  <c r="M7" i="54" s="1"/>
  <c r="K3" i="54"/>
  <c r="K6" i="54" s="1"/>
  <c r="I3" i="54"/>
  <c r="I6" i="54" s="1"/>
  <c r="G3" i="54"/>
  <c r="F2" i="54"/>
  <c r="G43" i="54"/>
  <c r="G41" i="54"/>
  <c r="G42" i="54"/>
  <c r="G40" i="54"/>
  <c r="B4" i="54"/>
  <c r="B5" i="54"/>
  <c r="B6" i="54" s="1"/>
  <c r="B7" i="54" s="1"/>
  <c r="B8" i="54" s="1"/>
  <c r="B9" i="54" s="1"/>
  <c r="B10" i="54" s="1"/>
  <c r="B11" i="54" s="1"/>
  <c r="B12" i="54" s="1"/>
  <c r="B13" i="54" s="1"/>
  <c r="B14" i="54" s="1"/>
  <c r="B15" i="54" s="1"/>
  <c r="B16" i="54" s="1"/>
  <c r="B17" i="54" s="1"/>
  <c r="B18" i="54" s="1"/>
  <c r="B19" i="54" s="1"/>
  <c r="B20" i="54" s="1"/>
  <c r="B21" i="54" s="1"/>
  <c r="B22" i="54" s="1"/>
  <c r="B23" i="54" s="1"/>
  <c r="B24" i="54" s="1"/>
  <c r="B25" i="54" s="1"/>
  <c r="B26" i="54" s="1"/>
  <c r="B27" i="54" s="1"/>
  <c r="B28" i="54" s="1"/>
  <c r="B29" i="54" s="1"/>
  <c r="B30" i="54" s="1"/>
  <c r="B31" i="54" s="1"/>
  <c r="B32" i="54" s="1"/>
  <c r="B33" i="54" s="1"/>
  <c r="B34" i="54" s="1"/>
  <c r="B35" i="54" s="1"/>
  <c r="B36" i="54" s="1"/>
  <c r="B37" i="54" s="1"/>
  <c r="B38" i="54" s="1"/>
  <c r="B39" i="54" s="1"/>
  <c r="B40" i="54" s="1"/>
  <c r="B41" i="54" s="1"/>
  <c r="B42" i="54" s="1"/>
  <c r="B43" i="54" s="1"/>
  <c r="B44" i="54" s="1"/>
  <c r="B45" i="54" s="1"/>
  <c r="B46" i="54" s="1"/>
  <c r="B47" i="54" s="1"/>
  <c r="B48" i="54" s="1"/>
  <c r="B49" i="54" s="1"/>
  <c r="B50" i="54" s="1"/>
  <c r="B51" i="54" s="1"/>
  <c r="B52" i="54" s="1"/>
  <c r="B53" i="54" s="1"/>
  <c r="B54" i="54" s="1"/>
  <c r="B55" i="54" s="1"/>
  <c r="B56" i="54" s="1"/>
  <c r="B57" i="54" s="1"/>
  <c r="B58" i="54" s="1"/>
  <c r="B59" i="54" s="1"/>
  <c r="B60" i="54" s="1"/>
  <c r="B61" i="54" s="1"/>
  <c r="B62" i="54" s="1"/>
  <c r="B63" i="54" s="1"/>
  <c r="B64" i="54" s="1"/>
  <c r="B65" i="54" s="1"/>
  <c r="B66" i="54" s="1"/>
  <c r="B67" i="54" s="1"/>
  <c r="B68" i="54" s="1"/>
  <c r="B69" i="54" s="1"/>
  <c r="B70" i="54" s="1"/>
  <c r="B71" i="54" s="1"/>
  <c r="B72" i="54" s="1"/>
  <c r="B73" i="54" s="1"/>
  <c r="B74" i="54" s="1"/>
  <c r="B75" i="54" s="1"/>
  <c r="B76" i="54" s="1"/>
  <c r="B77" i="54" s="1"/>
  <c r="B78" i="54" s="1"/>
  <c r="B79" i="54" s="1"/>
  <c r="B80" i="54" s="1"/>
  <c r="B81" i="54" s="1"/>
  <c r="B82" i="54" s="1"/>
  <c r="B83" i="54" s="1"/>
  <c r="B84" i="54" s="1"/>
  <c r="B85" i="54" s="1"/>
  <c r="B86" i="54" s="1"/>
  <c r="B87" i="54" s="1"/>
  <c r="B88" i="54" s="1"/>
  <c r="B89" i="54" s="1"/>
  <c r="B90" i="54" s="1"/>
  <c r="B91" i="54" s="1"/>
  <c r="B92" i="54" s="1"/>
  <c r="B93" i="54" s="1"/>
  <c r="B94" i="54" s="1"/>
  <c r="B95" i="54" s="1"/>
  <c r="B96" i="54" s="1"/>
  <c r="B97" i="54" s="1"/>
  <c r="B98" i="54" s="1"/>
  <c r="B99" i="54" s="1"/>
  <c r="B100" i="54" s="1"/>
  <c r="B101" i="54" s="1"/>
  <c r="B102" i="54" s="1"/>
  <c r="B103" i="54" s="1"/>
  <c r="B104" i="54" s="1"/>
  <c r="B105" i="54" s="1"/>
  <c r="B106" i="54" s="1"/>
  <c r="B107" i="54" s="1"/>
  <c r="B108" i="54" s="1"/>
  <c r="B109" i="54" s="1"/>
  <c r="B110" i="54" s="1"/>
  <c r="B111" i="54" s="1"/>
  <c r="B112" i="54" s="1"/>
  <c r="B113" i="54" s="1"/>
  <c r="B114" i="54" s="1"/>
  <c r="B115" i="54" s="1"/>
  <c r="B116" i="54" s="1"/>
  <c r="B117" i="54" s="1"/>
  <c r="B118" i="54" s="1"/>
  <c r="B119" i="54" s="1"/>
  <c r="B120" i="54" s="1"/>
  <c r="B121" i="54" s="1"/>
  <c r="B122" i="54" s="1"/>
  <c r="B123" i="54" s="1"/>
  <c r="B124" i="54" s="1"/>
  <c r="B125" i="54" s="1"/>
  <c r="B126" i="54" s="1"/>
  <c r="B127" i="54" s="1"/>
  <c r="B128" i="54" s="1"/>
  <c r="B129" i="54" s="1"/>
  <c r="B130" i="54" s="1"/>
  <c r="B131" i="54" s="1"/>
  <c r="B132" i="54" s="1"/>
  <c r="B133" i="54" s="1"/>
  <c r="B134" i="54" s="1"/>
  <c r="B135" i="54" s="1"/>
  <c r="B136" i="54" s="1"/>
  <c r="B137" i="54" s="1"/>
  <c r="B138" i="54" s="1"/>
  <c r="B139" i="54" s="1"/>
  <c r="B140" i="54" s="1"/>
  <c r="B141" i="54" s="1"/>
  <c r="B142" i="54" s="1"/>
  <c r="B143" i="54" s="1"/>
  <c r="B144" i="54" s="1"/>
  <c r="B145" i="54" s="1"/>
  <c r="B146" i="54" s="1"/>
  <c r="B147" i="54" s="1"/>
  <c r="B148" i="54" s="1"/>
  <c r="B149" i="54" s="1"/>
  <c r="B150" i="54" s="1"/>
  <c r="B151" i="54" s="1"/>
  <c r="B152" i="54" s="1"/>
  <c r="B153" i="54" s="1"/>
  <c r="B154" i="54" s="1"/>
  <c r="B155" i="54" s="1"/>
  <c r="B156" i="54" s="1"/>
  <c r="B157" i="54" s="1"/>
  <c r="B158" i="54" s="1"/>
  <c r="B159" i="54" s="1"/>
  <c r="B160" i="54" s="1"/>
  <c r="B161" i="54" s="1"/>
  <c r="B162" i="54" s="1"/>
  <c r="B163" i="54" s="1"/>
  <c r="B164" i="54" s="1"/>
  <c r="B165" i="54" s="1"/>
  <c r="B166" i="54" s="1"/>
  <c r="B167" i="54" s="1"/>
  <c r="B168" i="54" s="1"/>
  <c r="B169" i="54" s="1"/>
  <c r="B170" i="54" s="1"/>
  <c r="B171" i="54" s="1"/>
  <c r="B172" i="54" s="1"/>
  <c r="B173" i="54" s="1"/>
  <c r="B174" i="54" s="1"/>
  <c r="B175" i="54" s="1"/>
  <c r="B176" i="54" s="1"/>
  <c r="B177" i="54" s="1"/>
  <c r="B178" i="54" s="1"/>
  <c r="B179" i="54" s="1"/>
  <c r="B180" i="54" s="1"/>
  <c r="B181" i="54" s="1"/>
  <c r="B182" i="54" s="1"/>
  <c r="B183" i="54" s="1"/>
  <c r="B184" i="54" s="1"/>
  <c r="B185" i="54" s="1"/>
  <c r="B186" i="54" s="1"/>
  <c r="B187" i="54" s="1"/>
  <c r="B188" i="54" s="1"/>
  <c r="B189" i="54" s="1"/>
  <c r="B190" i="54" s="1"/>
  <c r="B191" i="54" s="1"/>
  <c r="B192" i="54" s="1"/>
  <c r="B193" i="54" s="1"/>
  <c r="B194" i="54" s="1"/>
  <c r="B195" i="54" s="1"/>
  <c r="B196" i="54" s="1"/>
  <c r="B197" i="54" s="1"/>
  <c r="B198" i="54" s="1"/>
  <c r="B199" i="54" s="1"/>
  <c r="B200" i="54" s="1"/>
  <c r="B201" i="54" s="1"/>
  <c r="B202" i="54" s="1"/>
  <c r="B203" i="54" s="1"/>
  <c r="B204" i="54" s="1"/>
  <c r="B205" i="54" s="1"/>
  <c r="B206" i="54" s="1"/>
  <c r="B207" i="54" s="1"/>
  <c r="B208" i="54" s="1"/>
  <c r="B209" i="54" s="1"/>
  <c r="B210" i="54" s="1"/>
  <c r="B211" i="54" s="1"/>
  <c r="B212" i="54" s="1"/>
  <c r="B213" i="54" s="1"/>
  <c r="B214" i="54" s="1"/>
  <c r="B215" i="54" s="1"/>
  <c r="B216" i="54" s="1"/>
  <c r="B217" i="54" s="1"/>
  <c r="B218" i="54" s="1"/>
  <c r="B219" i="54" s="1"/>
  <c r="B220" i="54" s="1"/>
  <c r="B221" i="54" s="1"/>
  <c r="B222" i="54" s="1"/>
  <c r="B223" i="54" s="1"/>
  <c r="B224" i="54" s="1"/>
  <c r="B225" i="54" s="1"/>
  <c r="B226" i="54" s="1"/>
  <c r="B227" i="54" s="1"/>
  <c r="B228" i="54" s="1"/>
  <c r="B229" i="54" s="1"/>
  <c r="B230" i="54" s="1"/>
  <c r="B231" i="54" s="1"/>
  <c r="B232" i="54" s="1"/>
  <c r="B233" i="54" s="1"/>
  <c r="B234" i="54" s="1"/>
  <c r="B235" i="54" s="1"/>
  <c r="B236" i="54" s="1"/>
  <c r="B237" i="54" s="1"/>
  <c r="B238" i="54" s="1"/>
  <c r="B239" i="54" s="1"/>
  <c r="B240" i="54" s="1"/>
  <c r="B241" i="54" s="1"/>
  <c r="B242" i="54" s="1"/>
  <c r="B243" i="54" s="1"/>
  <c r="B244" i="54" s="1"/>
  <c r="B245" i="54" s="1"/>
  <c r="B246" i="54" s="1"/>
  <c r="B247" i="54" s="1"/>
  <c r="B248" i="54" s="1"/>
  <c r="B249" i="54" s="1"/>
  <c r="B250" i="54" s="1"/>
  <c r="B251" i="54" s="1"/>
  <c r="B252" i="54" s="1"/>
  <c r="B253" i="54" s="1"/>
  <c r="B254" i="54" s="1"/>
  <c r="B255" i="54" s="1"/>
  <c r="B256" i="54" s="1"/>
  <c r="B257" i="54" s="1"/>
  <c r="B258" i="54" s="1"/>
  <c r="B259" i="54" s="1"/>
  <c r="B260" i="54" s="1"/>
  <c r="B261" i="54" s="1"/>
  <c r="B262" i="54" s="1"/>
  <c r="B263" i="54" s="1"/>
  <c r="B264" i="54" s="1"/>
  <c r="B265" i="54" s="1"/>
  <c r="B266" i="54" s="1"/>
  <c r="B267" i="54" s="1"/>
  <c r="B268" i="54" s="1"/>
  <c r="B269" i="54" s="1"/>
  <c r="B270" i="54" s="1"/>
  <c r="B271" i="54" s="1"/>
  <c r="B272" i="54" s="1"/>
  <c r="B273" i="54" s="1"/>
  <c r="B274" i="54" s="1"/>
  <c r="B275" i="54" s="1"/>
  <c r="B276" i="54" s="1"/>
  <c r="B277" i="54" s="1"/>
  <c r="B278" i="54" s="1"/>
  <c r="B279" i="54" s="1"/>
  <c r="B280" i="54" s="1"/>
  <c r="B281" i="54" s="1"/>
  <c r="B282" i="54" s="1"/>
  <c r="B283" i="54" s="1"/>
  <c r="B284" i="54" s="1"/>
  <c r="B285" i="54" s="1"/>
  <c r="B286" i="54" s="1"/>
  <c r="B287" i="54" s="1"/>
  <c r="B288" i="54" s="1"/>
  <c r="B289" i="54" s="1"/>
  <c r="B290" i="54" s="1"/>
  <c r="B291" i="54" s="1"/>
  <c r="B292" i="54" s="1"/>
  <c r="B293" i="54" s="1"/>
  <c r="B294" i="54" s="1"/>
  <c r="B295" i="54" s="1"/>
  <c r="B296" i="54" s="1"/>
  <c r="B297" i="54" s="1"/>
  <c r="B298" i="54" s="1"/>
  <c r="B299" i="54" s="1"/>
  <c r="B300" i="54" s="1"/>
  <c r="B301" i="54" s="1"/>
  <c r="B302" i="54" s="1"/>
  <c r="B303" i="54" s="1"/>
  <c r="B304" i="54" s="1"/>
  <c r="B305" i="54" s="1"/>
  <c r="B306" i="54" s="1"/>
  <c r="B307" i="54" s="1"/>
  <c r="B308" i="54" s="1"/>
  <c r="B309" i="54" s="1"/>
  <c r="B310" i="54" s="1"/>
  <c r="B311" i="54" s="1"/>
  <c r="B312" i="54" s="1"/>
  <c r="B313" i="54" s="1"/>
  <c r="B314" i="54" s="1"/>
  <c r="B315" i="54" s="1"/>
  <c r="B316" i="54" s="1"/>
  <c r="B317" i="54" s="1"/>
  <c r="B318" i="54" s="1"/>
  <c r="B319" i="54" s="1"/>
  <c r="B320" i="54" s="1"/>
  <c r="B321" i="54" s="1"/>
  <c r="B322" i="54" s="1"/>
  <c r="B323" i="54" s="1"/>
  <c r="B324" i="54" s="1"/>
  <c r="B325" i="54" s="1"/>
  <c r="B326" i="54" s="1"/>
  <c r="B327" i="54" s="1"/>
  <c r="B328" i="54" s="1"/>
  <c r="B329" i="54" s="1"/>
  <c r="B330" i="54" s="1"/>
  <c r="B331" i="54" s="1"/>
  <c r="B332" i="54" s="1"/>
  <c r="B333" i="54" s="1"/>
  <c r="B334" i="54" s="1"/>
  <c r="B335" i="54" s="1"/>
  <c r="B336" i="54" s="1"/>
  <c r="B337" i="54" s="1"/>
  <c r="B338" i="54" s="1"/>
  <c r="B339" i="54" s="1"/>
  <c r="B340" i="54" s="1"/>
  <c r="B341" i="54" s="1"/>
  <c r="B342" i="54" s="1"/>
  <c r="B343" i="54" s="1"/>
  <c r="B344" i="54" s="1"/>
  <c r="B345" i="54" s="1"/>
  <c r="B346" i="54" s="1"/>
  <c r="B347" i="54" s="1"/>
  <c r="B348" i="54" s="1"/>
  <c r="B349" i="54" s="1"/>
  <c r="B350" i="54" s="1"/>
  <c r="B351" i="54" s="1"/>
  <c r="B352" i="54" s="1"/>
  <c r="B353" i="54" s="1"/>
  <c r="B354" i="54" s="1"/>
  <c r="B355" i="54" s="1"/>
  <c r="B356" i="54" s="1"/>
  <c r="B357" i="54" s="1"/>
  <c r="B358" i="54" s="1"/>
  <c r="B359" i="54" s="1"/>
  <c r="B360" i="54" s="1"/>
  <c r="B361" i="54" s="1"/>
  <c r="B362" i="54" s="1"/>
  <c r="B363" i="54" s="1"/>
  <c r="B364" i="54" s="1"/>
  <c r="B365" i="54" s="1"/>
  <c r="B366" i="54" s="1"/>
  <c r="B367" i="54" s="1"/>
  <c r="B368" i="54" s="1"/>
  <c r="B369" i="54" s="1"/>
  <c r="B370" i="54" s="1"/>
  <c r="B371" i="54" s="1"/>
  <c r="B372" i="54" s="1"/>
  <c r="B373" i="54" s="1"/>
  <c r="B374" i="54" s="1"/>
  <c r="B375" i="54" s="1"/>
  <c r="B376" i="54" s="1"/>
  <c r="B377" i="54" s="1"/>
  <c r="B378" i="54" s="1"/>
  <c r="B379" i="54" s="1"/>
  <c r="B380" i="54" s="1"/>
  <c r="B381" i="54" s="1"/>
  <c r="B382" i="54" s="1"/>
  <c r="B383" i="54" s="1"/>
  <c r="B384" i="54" s="1"/>
  <c r="B385" i="54" s="1"/>
  <c r="B386" i="54" s="1"/>
  <c r="B387" i="54" s="1"/>
  <c r="B388" i="54" s="1"/>
  <c r="B389" i="54" s="1"/>
  <c r="B390" i="54" s="1"/>
  <c r="B391" i="54" s="1"/>
  <c r="B392" i="54" s="1"/>
  <c r="B393" i="54" s="1"/>
  <c r="B394" i="54" s="1"/>
  <c r="B395" i="54" s="1"/>
  <c r="B396" i="54" s="1"/>
  <c r="B397" i="54" s="1"/>
  <c r="B398" i="54" s="1"/>
  <c r="B399" i="54" s="1"/>
  <c r="B400" i="54" s="1"/>
  <c r="B401" i="54" s="1"/>
  <c r="B402" i="54" s="1"/>
  <c r="B3" i="54"/>
  <c r="H6" i="57" l="1"/>
  <c r="V23" i="54"/>
  <c r="V22" i="54"/>
  <c r="AA6" i="54"/>
  <c r="W24" i="54" s="1"/>
  <c r="V24" i="54"/>
  <c r="H6" i="54"/>
  <c r="G6" i="54"/>
  <c r="AA6" i="57"/>
  <c r="W24" i="57" s="1"/>
  <c r="AA7" i="57"/>
  <c r="X24" i="57" s="1"/>
  <c r="H7" i="57"/>
  <c r="G3" i="57"/>
  <c r="J4" i="57"/>
  <c r="S6" i="57"/>
  <c r="I7" i="57"/>
  <c r="U7" i="57"/>
  <c r="V7" i="57"/>
  <c r="K7" i="57"/>
  <c r="W7" i="57"/>
  <c r="L7" i="57"/>
  <c r="X7" i="57"/>
  <c r="O3" i="57"/>
  <c r="R4" i="57"/>
  <c r="M7" i="57"/>
  <c r="Q3" i="57"/>
  <c r="T4" i="57"/>
  <c r="N7" i="57"/>
  <c r="Z7" i="57"/>
  <c r="P7" i="57"/>
  <c r="Y3" i="57"/>
  <c r="AA7" i="54"/>
  <c r="X24" i="54" s="1"/>
  <c r="Z7" i="54"/>
  <c r="X7" i="54"/>
  <c r="W7" i="54"/>
  <c r="V7" i="54"/>
  <c r="U7" i="54"/>
  <c r="Q7" i="54"/>
  <c r="P7" i="54"/>
  <c r="O7" i="54"/>
  <c r="L7" i="54"/>
  <c r="K7" i="54"/>
  <c r="J7" i="54"/>
  <c r="I7" i="54"/>
  <c r="Y6" i="54"/>
  <c r="T6" i="54"/>
  <c r="S6" i="54"/>
  <c r="R6" i="54"/>
  <c r="N6" i="54"/>
  <c r="M6" i="54"/>
  <c r="H7" i="54"/>
  <c r="G7" i="54"/>
  <c r="X23" i="54" l="1"/>
  <c r="X22" i="54"/>
  <c r="W23" i="54"/>
  <c r="W22" i="54"/>
  <c r="V23" i="57"/>
  <c r="V22" i="57"/>
  <c r="Y6" i="57"/>
  <c r="Y7" i="57"/>
  <c r="T6" i="57"/>
  <c r="T7" i="57"/>
  <c r="Q6" i="57"/>
  <c r="Q7" i="57"/>
  <c r="J6" i="57"/>
  <c r="J7" i="57"/>
  <c r="G7" i="57"/>
  <c r="G6" i="57"/>
  <c r="R7" i="57"/>
  <c r="R6" i="57"/>
  <c r="O6" i="57"/>
  <c r="O7" i="57"/>
  <c r="A4" i="13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X23" i="57" l="1"/>
  <c r="X22" i="57"/>
  <c r="W23" i="57"/>
  <c r="W22" i="57"/>
</calcChain>
</file>

<file path=xl/sharedStrings.xml><?xml version="1.0" encoding="utf-8"?>
<sst xmlns="http://schemas.openxmlformats.org/spreadsheetml/2006/main" count="110" uniqueCount="33">
  <si>
    <t>GLU AVG</t>
  </si>
  <si>
    <t xml:space="preserve">Async. Peak </t>
  </si>
  <si>
    <t>-</t>
  </si>
  <si>
    <t>Avg Peak Intensity</t>
  </si>
  <si>
    <t>Avg Vesicles/Peak</t>
  </si>
  <si>
    <t>BHB AVG</t>
  </si>
  <si>
    <t>Spon. Peak</t>
  </si>
  <si>
    <t>Intensity</t>
  </si>
  <si>
    <t>Time</t>
  </si>
  <si>
    <t>(F-F0)/F0</t>
  </si>
  <si>
    <t>GLU AVG INTENSITY</t>
  </si>
  <si>
    <t>BHB AVG INTENSITY</t>
  </si>
  <si>
    <t>*Data imported from</t>
  </si>
  <si>
    <t xml:space="preserve">   raw data template</t>
  </si>
  <si>
    <t xml:space="preserve">   on same date</t>
  </si>
  <si>
    <t>Sync. Peak</t>
  </si>
  <si>
    <t>Avg Tau</t>
  </si>
  <si>
    <t>BHB Intensity</t>
  </si>
  <si>
    <t>GLU Intensity</t>
  </si>
  <si>
    <t>GLU Avg Tau</t>
  </si>
  <si>
    <t>BHB Avg Tau</t>
  </si>
  <si>
    <t>DATA &gt;&gt;</t>
  </si>
  <si>
    <t>Simultation Frame</t>
  </si>
  <si>
    <t>Avg Intensity</t>
  </si>
  <si>
    <r>
      <t xml:space="preserve">ROI COUNT </t>
    </r>
    <r>
      <rPr>
        <sz val="11"/>
        <color theme="8"/>
        <rFont val="Arial Narrow"/>
        <family val="2"/>
      </rPr>
      <t>↓</t>
    </r>
  </si>
  <si>
    <r>
      <t xml:space="preserve">ROI COUNT </t>
    </r>
    <r>
      <rPr>
        <sz val="11"/>
        <color theme="7"/>
        <rFont val="Arial Narrow"/>
        <family val="2"/>
      </rPr>
      <t>↓</t>
    </r>
  </si>
  <si>
    <t>Values</t>
  </si>
  <si>
    <t>Data Type</t>
  </si>
  <si>
    <t>Avg Peak Inten.</t>
  </si>
  <si>
    <t>Avg Intensity Glu</t>
  </si>
  <si>
    <t>Avg Intensity BHB</t>
  </si>
  <si>
    <t>Glu</t>
  </si>
  <si>
    <t>BHB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</si>
</sst>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7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8"/>
      <name val="Arial Narrow"/>
      <family val="2"/>
    </font>
    <font>
      <sz val="11"/>
      <color theme="7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1" fillId="0" borderId="2" xfId="0" applyFont="1" applyBorder="1"/>
    <xf numFmtId="2" fontId="1" fillId="0" borderId="1" xfId="0" applyNumberFormat="1" applyFont="1" applyBorder="1" applyAlignment="1">
      <alignment horizontal="center"/>
    </xf>
    <xf numFmtId="0" fontId="2" fillId="2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1" fillId="0" borderId="1" xfId="0" applyFont="1" applyBorder="1" applyAlignment="1">
      <alignment horizontal="center"/>
    </xf>
    <xf numFmtId="0" fontId="3" fillId="0" borderId="3" xfId="0" applyFont="1" applyBorder="1"/>
    <xf numFmtId="0" fontId="4" fillId="0" borderId="3" xfId="0" applyFont="1" applyBorder="1"/>
    <xf numFmtId="0" fontId="0" fillId="4" borderId="0" xfId="0" applyFill="1"/>
    <xf numFmtId="0" fontId="2" fillId="2" borderId="0" xfId="0" applyFont="1" applyFill="1"/>
    <xf numFmtId="0" fontId="2" fillId="3" borderId="0" xfId="0" applyFont="1" applyFill="1"/>
    <xf numFmtId="0" fontId="1" fillId="0" borderId="0" xfId="0" applyFont="1"/>
    <xf numFmtId="2" fontId="1" fillId="0" borderId="0" xfId="0" applyNumberFormat="1" applyFont="1"/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2" fontId="0" fillId="6" borderId="0" xfId="0" applyNumberFormat="1" applyFill="1"/>
    <xf numFmtId="0" fontId="3" fillId="0" borderId="0" xfId="0" applyFont="1"/>
    <xf numFmtId="9" fontId="0" fillId="0" borderId="0" xfId="1" applyFont="1"/>
    <xf numFmtId="0" fontId="4" fillId="0" borderId="0" xfId="0" applyFont="1"/>
    <xf numFmtId="9" fontId="0" fillId="0" borderId="0" xfId="0" applyNumberFormat="1"/>
    <xf numFmtId="0" fontId="0" fillId="6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505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</a:t>
            </a:r>
            <a:r>
              <a:rPr lang="en-US" b="1" baseline="0"/>
              <a:t> One Peak Intensity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'1HZ - Tot Analysis'!$B$1</c:f>
              <c:strCache>
                <c:ptCount val="1"/>
                <c:pt idx="0">
                  <c:v>Avg Intensity Glu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'1HZ - Tot Analysis'!$A$2:$A$29</c:f>
              <c:numCache>
                <c:formatCode>0.00</c:formatCode>
                <c:ptCount val="2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</c:numCache>
            </c:numRef>
          </c:cat>
          <c:val>
            <c:numRef>
              <c:f>'1HZ - Tot Analysis'!$B$2:$B$29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F-440A-904E-D202E47E3FAE}"/>
            </c:ext>
          </c:extLst>
        </c:ser>
        <c:ser>
          <c:idx val="1"/>
          <c:order val="1"/>
          <c:tx>
            <c:strRef>
              <c:f>'1HZ - Tot Analysis'!$C$1</c:f>
              <c:strCache>
                <c:ptCount val="1"/>
                <c:pt idx="0">
                  <c:v>Avg Intensity BHB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'1HZ - Tot Analysis'!$A$2:$A$29</c:f>
              <c:numCache>
                <c:formatCode>0.00</c:formatCode>
                <c:ptCount val="2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</c:numCache>
            </c:numRef>
          </c:cat>
          <c:val>
            <c:numRef>
              <c:f>'1HZ - Tot Analysis'!$C$2:$C$29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F-440A-904E-D202E47E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6025759"/>
        <c:axId val="756028639"/>
      </c:lineChart>
      <c:catAx>
        <c:axId val="7560257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028639"/>
        <c:crosses val="autoZero"/>
        <c:auto val="1"/>
        <c:lblAlgn val="ctr"/>
        <c:lblOffset val="100"/>
        <c:noMultiLvlLbl val="0"/>
      </c:catAx>
      <c:valAx>
        <c:axId val="75602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1" i="0" u="none" strike="noStrike" baseline="0">
                    <a:effectLst/>
                  </a:rPr>
                  <a:t>Δ</a:t>
                </a:r>
                <a:r>
                  <a:rPr lang="en-US" sz="1000" b="1" i="0" u="none" strike="noStrike" baseline="0">
                    <a:effectLst/>
                  </a:rPr>
                  <a:t>F/F</a:t>
                </a:r>
                <a:r>
                  <a:rPr lang="en-US" sz="1000" b="1" i="0" u="none" strike="noStrike" baseline="0"/>
                  <a:t>₀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025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</a:t>
            </a:r>
            <a:r>
              <a:rPr lang="en-US" b="1" baseline="0"/>
              <a:t> Intensities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'20HZ - Tot Analysis'!$B$1</c:f>
              <c:strCache>
                <c:ptCount val="1"/>
                <c:pt idx="0">
                  <c:v>GLU Intensity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'20HZ - Tot Analysis'!$A$2:$A$152</c:f>
              <c:numCache>
                <c:formatCode>0.00</c:formatCode>
                <c:ptCount val="15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</c:numCache>
            </c:numRef>
          </c:cat>
          <c:val>
            <c:numRef>
              <c:f>'20HZ - Tot Analysis'!$B$2:$B$152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F3-40B9-A19D-01F6D1DC8700}"/>
            </c:ext>
          </c:extLst>
        </c:ser>
        <c:ser>
          <c:idx val="1"/>
          <c:order val="1"/>
          <c:tx>
            <c:strRef>
              <c:f>'20HZ - Tot Analysis'!$C$1</c:f>
              <c:strCache>
                <c:ptCount val="1"/>
                <c:pt idx="0">
                  <c:v>BHB Intensity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'20HZ - Tot Analysis'!$A$2:$A$152</c:f>
              <c:numCache>
                <c:formatCode>0.00</c:formatCode>
                <c:ptCount val="15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</c:numCache>
            </c:numRef>
          </c:cat>
          <c:val>
            <c:numRef>
              <c:f>'20HZ - Tot Analysis'!$C$2:$C$152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F3-40B9-A19D-01F6D1DC8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7540304"/>
        <c:axId val="2097538864"/>
      </c:lineChart>
      <c:catAx>
        <c:axId val="2097540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>
            <c:manualLayout>
              <c:xMode val="edge"/>
              <c:yMode val="edge"/>
              <c:x val="0.43658902012248468"/>
              <c:y val="0.772777048702245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538864"/>
        <c:crosses val="autoZero"/>
        <c:auto val="1"/>
        <c:lblAlgn val="ctr"/>
        <c:lblOffset val="100"/>
        <c:noMultiLvlLbl val="0"/>
      </c:catAx>
      <c:valAx>
        <c:axId val="20975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</a:rPr>
                  <a:t>Δ</a:t>
                </a:r>
                <a:r>
                  <a:rPr lang="en-US"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</a:rPr>
                  <a:t>F/F</a:t>
                </a:r>
                <a:r>
                  <a:rPr lang="en-US"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54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5"/>
                </a:solidFill>
              </a:rPr>
              <a:t>GLU Intensity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5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'TEMPLATE 1HZ - GLU Data'!$C$1</c:f>
              <c:strCache>
                <c:ptCount val="1"/>
                <c:pt idx="0">
                  <c:v>Intensity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'TEMPLATE 1HZ - GLU Data'!$B$2:$B$152</c:f>
              <c:numCache>
                <c:formatCode>0.00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cat>
          <c:val>
            <c:numRef>
              <c:f>'TEMPLATE 1HZ - GLU Data'!$C$2:$C$152</c:f>
              <c:numCache>
                <c:formatCode>0.00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C-4604-B031-657C79F5B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608880"/>
        <c:axId val="1445887968"/>
      </c:lineChart>
      <c:catAx>
        <c:axId val="12860888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5887968"/>
        <c:crosses val="autoZero"/>
        <c:auto val="1"/>
        <c:lblAlgn val="ctr"/>
        <c:lblOffset val="100"/>
        <c:noMultiLvlLbl val="0"/>
      </c:catAx>
      <c:valAx>
        <c:axId val="144588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0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accent5"/>
                </a:solidFill>
              </a:rPr>
              <a:t>GLU Peak Intensity</a:t>
            </a:r>
            <a:endParaRPr lang="en-US">
              <a:solidFill>
                <a:schemeClr val="accent5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5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'TEMPLATE 1HZ - GLU Data'!$G$2:$AA$2</c:f>
              <c:strCache>
                <c:ptCount val="21"/>
                <c:pt idx="0">
                  <c:v>2.00</c:v>
                </c:pt>
                <c:pt idx="1">
                  <c:v>-</c:v>
                </c:pt>
                <c:pt idx="2">
                  <c:v>3.00</c:v>
                </c:pt>
                <c:pt idx="3">
                  <c:v>-</c:v>
                </c:pt>
                <c:pt idx="4">
                  <c:v>4.00</c:v>
                </c:pt>
                <c:pt idx="5">
                  <c:v>-</c:v>
                </c:pt>
                <c:pt idx="6">
                  <c:v>5.00</c:v>
                </c:pt>
                <c:pt idx="7">
                  <c:v>-</c:v>
                </c:pt>
                <c:pt idx="8">
                  <c:v>6.00</c:v>
                </c:pt>
                <c:pt idx="9">
                  <c:v>-</c:v>
                </c:pt>
                <c:pt idx="10">
                  <c:v>7.00</c:v>
                </c:pt>
                <c:pt idx="11">
                  <c:v>-</c:v>
                </c:pt>
                <c:pt idx="12">
                  <c:v>8.00</c:v>
                </c:pt>
                <c:pt idx="13">
                  <c:v>-</c:v>
                </c:pt>
                <c:pt idx="14">
                  <c:v>9.00</c:v>
                </c:pt>
                <c:pt idx="15">
                  <c:v>-</c:v>
                </c:pt>
                <c:pt idx="16">
                  <c:v>10.00</c:v>
                </c:pt>
                <c:pt idx="17">
                  <c:v>-</c:v>
                </c:pt>
                <c:pt idx="18">
                  <c:v>11.00</c:v>
                </c:pt>
                <c:pt idx="19">
                  <c:v>-</c:v>
                </c:pt>
                <c:pt idx="20">
                  <c:v>12.00</c:v>
                </c:pt>
              </c:strCache>
            </c:strRef>
          </c:cat>
          <c:val>
            <c:numRef>
              <c:f>'TEMPLATE 1HZ - GLU Data'!$G$6:$AA$6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BA-4E89-86D3-DF2765465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412656"/>
        <c:axId val="110413136"/>
      </c:barChart>
      <c:catAx>
        <c:axId val="11041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13136"/>
        <c:crosses val="autoZero"/>
        <c:auto val="1"/>
        <c:lblAlgn val="ctr"/>
        <c:lblOffset val="100"/>
        <c:noMultiLvlLbl val="0"/>
      </c:catAx>
      <c:valAx>
        <c:axId val="1104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1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5"/>
                </a:solidFill>
              </a:rPr>
              <a:t>One Peak Average</a:t>
            </a:r>
          </a:p>
        </c:rich>
      </c:tx>
      <c:layout>
        <c:manualLayout>
          <c:xMode val="edge"/>
          <c:yMode val="edge"/>
          <c:x val="0.34924336558482189"/>
          <c:y val="4.050756726010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'TEMPLATE 1HZ - GLU Data'!$F$21:$F$48</c:f>
              <c:numCache>
                <c:formatCode>General</c:formatCode>
                <c:ptCount val="2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</c:numCache>
            </c:numRef>
          </c:cat>
          <c:val>
            <c:numRef>
              <c:f>'TEMPLATE 1HZ - GLU Data'!$G$21:$G$48</c:f>
              <c:numCache>
                <c:formatCode>0.00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E5-42F8-B7FA-0B420E71A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5891968"/>
        <c:axId val="1135893408"/>
      </c:lineChart>
      <c:catAx>
        <c:axId val="113589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893408"/>
        <c:crosses val="autoZero"/>
        <c:auto val="1"/>
        <c:lblAlgn val="ctr"/>
        <c:lblOffset val="100"/>
        <c:noMultiLvlLbl val="0"/>
      </c:catAx>
      <c:valAx>
        <c:axId val="113589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89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4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4"/>
                </a:solidFill>
              </a:rPr>
              <a:t>BHB Intensity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4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'TEMPLATE 1HZ - BHB Data'!$C$1</c:f>
              <c:strCache>
                <c:ptCount val="1"/>
                <c:pt idx="0">
                  <c:v>Intensity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'TEMPLATE 1HZ - BHB Data'!$B$2:$B$152</c:f>
              <c:numCache>
                <c:formatCode>0.00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cat>
          <c:val>
            <c:numRef>
              <c:f>'TEMPLATE 1HZ - BHB Data'!$C$2:$C$152</c:f>
              <c:numCache>
                <c:formatCode>0.00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7-4ABA-8E74-07A0C0464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608880"/>
        <c:axId val="1445887968"/>
      </c:lineChart>
      <c:catAx>
        <c:axId val="12860888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5887968"/>
        <c:crosses val="autoZero"/>
        <c:auto val="1"/>
        <c:lblAlgn val="ctr"/>
        <c:lblOffset val="100"/>
        <c:noMultiLvlLbl val="0"/>
      </c:catAx>
      <c:valAx>
        <c:axId val="144588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0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4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accent4"/>
                </a:solidFill>
              </a:rPr>
              <a:t>BHB Peak Intensity</a:t>
            </a:r>
            <a:endParaRPr lang="en-US">
              <a:solidFill>
                <a:schemeClr val="accent4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4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'TEMPLATE 1HZ - BHB Data'!$G$2:$AA$2</c:f>
              <c:strCache>
                <c:ptCount val="21"/>
                <c:pt idx="0">
                  <c:v>2.00</c:v>
                </c:pt>
                <c:pt idx="1">
                  <c:v>-</c:v>
                </c:pt>
                <c:pt idx="2">
                  <c:v>3.00</c:v>
                </c:pt>
                <c:pt idx="3">
                  <c:v>-</c:v>
                </c:pt>
                <c:pt idx="4">
                  <c:v>4.00</c:v>
                </c:pt>
                <c:pt idx="5">
                  <c:v>-</c:v>
                </c:pt>
                <c:pt idx="6">
                  <c:v>5.00</c:v>
                </c:pt>
                <c:pt idx="7">
                  <c:v>-</c:v>
                </c:pt>
                <c:pt idx="8">
                  <c:v>6.00</c:v>
                </c:pt>
                <c:pt idx="9">
                  <c:v>-</c:v>
                </c:pt>
                <c:pt idx="10">
                  <c:v>7.00</c:v>
                </c:pt>
                <c:pt idx="11">
                  <c:v>-</c:v>
                </c:pt>
                <c:pt idx="12">
                  <c:v>8.00</c:v>
                </c:pt>
                <c:pt idx="13">
                  <c:v>-</c:v>
                </c:pt>
                <c:pt idx="14">
                  <c:v>9.00</c:v>
                </c:pt>
                <c:pt idx="15">
                  <c:v>-</c:v>
                </c:pt>
                <c:pt idx="16">
                  <c:v>10.00</c:v>
                </c:pt>
                <c:pt idx="17">
                  <c:v>-</c:v>
                </c:pt>
                <c:pt idx="18">
                  <c:v>11.00</c:v>
                </c:pt>
                <c:pt idx="19">
                  <c:v>-</c:v>
                </c:pt>
                <c:pt idx="20">
                  <c:v>12.00</c:v>
                </c:pt>
              </c:strCache>
            </c:strRef>
          </c:cat>
          <c:val>
            <c:numRef>
              <c:f>'TEMPLATE 1HZ - BHB Data'!$G$6:$AA$6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4A-4B8C-85B2-9E0184502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412656"/>
        <c:axId val="110413136"/>
      </c:barChart>
      <c:catAx>
        <c:axId val="11041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13136"/>
        <c:crosses val="autoZero"/>
        <c:auto val="1"/>
        <c:lblAlgn val="ctr"/>
        <c:lblOffset val="100"/>
        <c:noMultiLvlLbl val="0"/>
      </c:catAx>
      <c:valAx>
        <c:axId val="1104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1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4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4"/>
                </a:solidFill>
              </a:rPr>
              <a:t>One Peak Average</a:t>
            </a:r>
          </a:p>
        </c:rich>
      </c:tx>
      <c:layout>
        <c:manualLayout>
          <c:xMode val="edge"/>
          <c:yMode val="edge"/>
          <c:x val="0.34924336558482189"/>
          <c:y val="4.050756726010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4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'TEMPLATE 1HZ - BHB Data'!$F$21:$F$48</c:f>
              <c:numCache>
                <c:formatCode>General</c:formatCode>
                <c:ptCount val="2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</c:numCache>
            </c:numRef>
          </c:cat>
          <c:val>
            <c:numRef>
              <c:f>'TEMPLATE 1HZ - BHB Data'!$G$21:$G$48</c:f>
              <c:numCache>
                <c:formatCode>0.00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88-4E41-94A0-053C76C9F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5891968"/>
        <c:axId val="1135893408"/>
      </c:lineChart>
      <c:catAx>
        <c:axId val="113589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893408"/>
        <c:crosses val="autoZero"/>
        <c:auto val="1"/>
        <c:lblAlgn val="ctr"/>
        <c:lblOffset val="100"/>
        <c:noMultiLvlLbl val="0"/>
      </c:catAx>
      <c:valAx>
        <c:axId val="113589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89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5"/>
                </a:solidFill>
              </a:rPr>
              <a:t>GLU</a:t>
            </a:r>
            <a:r>
              <a:rPr lang="en-US" baseline="0">
                <a:solidFill>
                  <a:schemeClr val="accent5"/>
                </a:solidFill>
              </a:rPr>
              <a:t> Intensity vs Time</a:t>
            </a:r>
            <a:endParaRPr lang="en-US">
              <a:solidFill>
                <a:schemeClr val="accent5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5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'TEMPLATE 20HZ - GLU Data'!$C$1</c:f>
              <c:strCache>
                <c:ptCount val="1"/>
                <c:pt idx="0">
                  <c:v>Intensity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0">
                <a:solidFill>
                  <a:schemeClr val="accent5"/>
                </a:solidFill>
              </a:ln>
              <a:effectLst/>
            </c:spPr>
          </c:marker>
          <c:xVal>
            <c:numRef>
              <c:f>'TEMPLATE 20HZ - GLU Data'!$B$2:$B$152</c:f>
              <c:numCache>
                <c:formatCode>0.00</c:formatCode>
                <c:ptCount val="15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</c:numCache>
            </c:numRef>
          </c:xVal>
          <c:yVal>
            <c:numRef>
              <c:f>'TEMPLATE 20HZ - GLU Data'!$C$2:$C$152</c:f>
              <c:numCache>
                <c:formatCode>0.00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FB-4206-965A-1492AF48B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74816"/>
        <c:axId val="297691616"/>
      </c:scatterChart>
      <c:valAx>
        <c:axId val="29767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91616"/>
        <c:crosses val="autoZero"/>
        <c:crossBetween val="midCat"/>
      </c:valAx>
      <c:valAx>
        <c:axId val="29769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74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4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4"/>
                </a:solidFill>
              </a:rPr>
              <a:t>BHB Intensity vs Time</a:t>
            </a:r>
          </a:p>
        </c:rich>
      </c:tx>
      <c:layout>
        <c:manualLayout>
          <c:xMode val="edge"/>
          <c:yMode val="edge"/>
          <c:x val="0.336528262951028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4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'TEMPLATE 20HZ - BHB Data'!$C$1</c:f>
              <c:strCache>
                <c:ptCount val="1"/>
                <c:pt idx="0">
                  <c:v>Intensity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0">
                <a:solidFill>
                  <a:schemeClr val="accent4"/>
                </a:solidFill>
              </a:ln>
              <a:effectLst/>
            </c:spPr>
          </c:marker>
          <c:xVal>
            <c:numRef>
              <c:f>'TEMPLATE 20HZ - BHB Data'!$B$2:$B$152</c:f>
              <c:numCache>
                <c:formatCode>0.00</c:formatCode>
                <c:ptCount val="15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</c:numCache>
            </c:numRef>
          </c:xVal>
          <c:yVal>
            <c:numRef>
              <c:f>'TEMPLATE 20HZ - BHB Data'!$C$2:$C$152</c:f>
              <c:numCache>
                <c:formatCode>0.00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E0-4199-9708-87EBE05F4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76736"/>
        <c:axId val="297678176"/>
      </c:scatterChart>
      <c:valAx>
        <c:axId val="29767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78176"/>
        <c:crosses val="autoZero"/>
        <c:crossBetween val="midCat"/>
      </c:valAx>
      <c:valAx>
        <c:axId val="29767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7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220980</xdr:colOff>
      <xdr:row>7</xdr:row>
      <xdr:rowOff>148590</xdr:rowOff>
    </xdr:from>
    <xdr:to>
      <xdr:col>11</xdr:col>
      <xdr:colOff>701040</xdr:colOff>
      <xdr:row>22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420BA3-FEC8-BDE5-5EF7-A0CD49D44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51178</xdr:colOff>
      <xdr:row>3</xdr:row>
      <xdr:rowOff>101221</xdr:rowOff>
    </xdr:from>
    <xdr:to>
      <xdr:col>13</xdr:col>
      <xdr:colOff>164910</xdr:colOff>
      <xdr:row>18</xdr:row>
      <xdr:rowOff>114868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C30AF4F-5FF5-FEBA-B379-295951CDD4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3138</xdr:colOff>
      <xdr:row>7</xdr:row>
      <xdr:rowOff>9269</xdr:rowOff>
    </xdr:from>
    <xdr:to>
      <xdr:col>17</xdr:col>
      <xdr:colOff>20934</xdr:colOff>
      <xdr:row>18</xdr:row>
      <xdr:rowOff>9457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DD4F80-97DA-43A5-AA28-E007D07BE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10794</xdr:colOff>
      <xdr:row>7</xdr:row>
      <xdr:rowOff>8355</xdr:rowOff>
    </xdr:from>
    <xdr:to>
      <xdr:col>27</xdr:col>
      <xdr:colOff>34691</xdr:colOff>
      <xdr:row>18</xdr:row>
      <xdr:rowOff>14171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6CF20B-8A75-4F14-9953-4520C39EF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36723</xdr:colOff>
      <xdr:row>19</xdr:row>
      <xdr:rowOff>918</xdr:rowOff>
    </xdr:from>
    <xdr:to>
      <xdr:col>18</xdr:col>
      <xdr:colOff>183614</xdr:colOff>
      <xdr:row>29</xdr:row>
      <xdr:rowOff>45904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D15FFF-7368-3EA0-1CC1-98D79A8FEB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3138</xdr:colOff>
      <xdr:row>7</xdr:row>
      <xdr:rowOff>9269</xdr:rowOff>
    </xdr:from>
    <xdr:to>
      <xdr:col>17</xdr:col>
      <xdr:colOff>20934</xdr:colOff>
      <xdr:row>18</xdr:row>
      <xdr:rowOff>9457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9A5C54-9F85-4194-94CA-5A1188C0FE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10794</xdr:colOff>
      <xdr:row>7</xdr:row>
      <xdr:rowOff>8355</xdr:rowOff>
    </xdr:from>
    <xdr:to>
      <xdr:col>27</xdr:col>
      <xdr:colOff>34691</xdr:colOff>
      <xdr:row>18</xdr:row>
      <xdr:rowOff>14171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AD918C-E34E-42B7-A2DB-84EFE0E5F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36723</xdr:colOff>
      <xdr:row>19</xdr:row>
      <xdr:rowOff>918</xdr:rowOff>
    </xdr:from>
    <xdr:to>
      <xdr:col>18</xdr:col>
      <xdr:colOff>183614</xdr:colOff>
      <xdr:row>29</xdr:row>
      <xdr:rowOff>45904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C7B9895-F969-44F8-842F-6A33FF912A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596265</xdr:colOff>
      <xdr:row>3</xdr:row>
      <xdr:rowOff>3810</xdr:rowOff>
    </xdr:from>
    <xdr:to>
      <xdr:col>11</xdr:col>
      <xdr:colOff>89535</xdr:colOff>
      <xdr:row>15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8F02E7-2B6B-B6A4-80DE-2A0D470BD2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</xdr:colOff>
      <xdr:row>3</xdr:row>
      <xdr:rowOff>0</xdr:rowOff>
    </xdr:from>
    <xdr:to>
      <xdr:col>11</xdr:col>
      <xdr:colOff>111125</xdr:colOff>
      <xdr:row>15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2FC653-4422-905A-ACFC-FBB3D1BE21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24FF8-42AA-47E8-AD42-EC428749D269}">
  <dimension ref="A1:M29"/>
  <sheetViews>
    <sheetView workbookViewId="0">
      <selection activeCell="I7" sqref="I7"/>
    </sheetView>
  </sheetViews>
  <sheetFormatPr defaultRowHeight="14.4" x14ac:dyDescent="0.3"/>
  <cols>
    <col min="1" max="1" width="7.44140625" style="2" customWidth="1"/>
    <col min="2" max="2" width="14" bestFit="1" customWidth="1"/>
    <col min="3" max="3" width="14.77734375" bestFit="1" customWidth="1"/>
    <col min="5" max="5" width="11" bestFit="1" customWidth="1"/>
    <col min="6" max="6" width="6.5546875" bestFit="1" customWidth="1"/>
    <col min="7" max="7" width="13.109375" bestFit="1" customWidth="1"/>
    <col min="8" max="8" width="15.6640625" bestFit="1" customWidth="1"/>
    <col min="10" max="10" width="11" bestFit="1" customWidth="1"/>
    <col min="11" max="11" width="6.5546875" bestFit="1" customWidth="1"/>
    <col min="12" max="12" width="13.5546875" bestFit="1" customWidth="1"/>
    <col min="13" max="13" width="16.109375" bestFit="1" customWidth="1"/>
  </cols>
  <sheetData>
    <row r="1" spans="1:13" x14ac:dyDescent="0.3">
      <c r="A1" t="s">
        <v>8</v>
      </c>
      <c r="B1" s="20" t="s">
        <v>29</v>
      </c>
      <c r="C1" s="22" t="s">
        <v>30</v>
      </c>
      <c r="E1" s="20" t="s">
        <v>31</v>
      </c>
      <c r="J1" s="22" t="s">
        <v>32</v>
      </c>
    </row>
    <row r="2" spans="1:13" x14ac:dyDescent="0.3">
      <c r="A2" s="2">
        <v>0</v>
      </c>
      <c r="B2">
        <v>0</v>
      </c>
      <c r="C2">
        <v>0</v>
      </c>
      <c r="E2" s="13" t="s">
        <v>27</v>
      </c>
      <c r="F2" s="13" t="s">
        <v>26</v>
      </c>
      <c r="G2" s="13" t="s">
        <v>28</v>
      </c>
      <c r="H2" s="13" t="s">
        <v>4</v>
      </c>
      <c r="J2" s="13" t="s">
        <v>27</v>
      </c>
      <c r="K2" s="13" t="s">
        <v>26</v>
      </c>
      <c r="L2" s="13" t="s">
        <v>28</v>
      </c>
      <c r="M2" s="13" t="s">
        <v>4</v>
      </c>
    </row>
    <row r="3" spans="1:13" x14ac:dyDescent="0.3">
      <c r="A3" s="2">
        <v>0.1</v>
      </c>
      <c r="B3">
        <v>0</v>
      </c>
      <c r="C3">
        <v>0</v>
      </c>
      <c r="E3" t="s">
        <v>15</v>
      </c>
      <c r="F3" s="23"/>
      <c r="J3" t="s">
        <v>15</v>
      </c>
      <c r="K3" s="23"/>
    </row>
    <row r="4" spans="1:13" x14ac:dyDescent="0.3">
      <c r="A4" s="2">
        <v>0.2</v>
      </c>
      <c r="B4">
        <v>0</v>
      </c>
      <c r="C4">
        <v>0</v>
      </c>
      <c r="E4" t="s">
        <v>1</v>
      </c>
      <c r="F4" s="23"/>
      <c r="J4" t="s">
        <v>1</v>
      </c>
      <c r="K4" s="23"/>
    </row>
    <row r="5" spans="1:13" x14ac:dyDescent="0.3">
      <c r="A5" s="2">
        <v>0.30000000000000004</v>
      </c>
      <c r="B5">
        <v>0</v>
      </c>
      <c r="C5">
        <v>0</v>
      </c>
      <c r="E5" t="s">
        <v>6</v>
      </c>
      <c r="F5" s="23"/>
      <c r="J5" t="s">
        <v>6</v>
      </c>
      <c r="K5" s="23"/>
    </row>
    <row r="6" spans="1:13" x14ac:dyDescent="0.3">
      <c r="A6" s="2">
        <v>0.4</v>
      </c>
      <c r="B6">
        <v>0</v>
      </c>
      <c r="C6">
        <v>0</v>
      </c>
    </row>
    <row r="7" spans="1:13" x14ac:dyDescent="0.3">
      <c r="A7" s="2">
        <v>0.5</v>
      </c>
      <c r="B7">
        <v>0</v>
      </c>
      <c r="C7">
        <v>0</v>
      </c>
    </row>
    <row r="8" spans="1:13" x14ac:dyDescent="0.3">
      <c r="A8" s="2">
        <v>0.6</v>
      </c>
      <c r="B8">
        <v>0</v>
      </c>
      <c r="C8">
        <v>0</v>
      </c>
    </row>
    <row r="9" spans="1:13" x14ac:dyDescent="0.3">
      <c r="A9" s="2">
        <v>0.7</v>
      </c>
      <c r="B9">
        <v>0</v>
      </c>
      <c r="C9">
        <v>0</v>
      </c>
    </row>
    <row r="10" spans="1:13" x14ac:dyDescent="0.3">
      <c r="A10" s="2">
        <v>0.79999999999999993</v>
      </c>
      <c r="B10">
        <v>0</v>
      </c>
      <c r="C10">
        <v>0</v>
      </c>
    </row>
    <row r="11" spans="1:13" x14ac:dyDescent="0.3">
      <c r="A11" s="2">
        <v>0.89999999999999991</v>
      </c>
      <c r="B11">
        <v>0</v>
      </c>
      <c r="C11">
        <v>0</v>
      </c>
    </row>
    <row r="12" spans="1:13" x14ac:dyDescent="0.3">
      <c r="A12" s="2">
        <v>0.99999999999999989</v>
      </c>
      <c r="B12">
        <v>0</v>
      </c>
      <c r="C12">
        <v>0</v>
      </c>
    </row>
    <row r="13" spans="1:13" x14ac:dyDescent="0.3">
      <c r="A13" s="2">
        <v>1.0999999999999999</v>
      </c>
      <c r="B13">
        <v>0</v>
      </c>
      <c r="C13">
        <v>0</v>
      </c>
    </row>
    <row r="14" spans="1:13" x14ac:dyDescent="0.3">
      <c r="A14" s="2">
        <v>1.2</v>
      </c>
      <c r="B14">
        <v>0</v>
      </c>
      <c r="C14">
        <v>0</v>
      </c>
    </row>
    <row r="15" spans="1:13" x14ac:dyDescent="0.3">
      <c r="A15" s="2">
        <v>1.3</v>
      </c>
      <c r="B15">
        <v>0</v>
      </c>
      <c r="C15">
        <v>0</v>
      </c>
    </row>
    <row r="16" spans="1:13" x14ac:dyDescent="0.3">
      <c r="A16" s="2">
        <v>1.4000000000000001</v>
      </c>
      <c r="B16">
        <v>0</v>
      </c>
      <c r="C16">
        <v>0</v>
      </c>
    </row>
    <row r="17" spans="1:3" x14ac:dyDescent="0.3">
      <c r="A17" s="2">
        <v>1.5000000000000002</v>
      </c>
      <c r="B17">
        <v>0</v>
      </c>
      <c r="C17">
        <v>0</v>
      </c>
    </row>
    <row r="18" spans="1:3" x14ac:dyDescent="0.3">
      <c r="A18" s="2">
        <v>1.6000000000000003</v>
      </c>
      <c r="B18">
        <v>0</v>
      </c>
      <c r="C18">
        <v>0</v>
      </c>
    </row>
    <row r="19" spans="1:3" x14ac:dyDescent="0.3">
      <c r="A19" s="2">
        <v>1.7000000000000004</v>
      </c>
      <c r="B19" s="24">
        <v>0</v>
      </c>
      <c r="C19" s="24">
        <v>0</v>
      </c>
    </row>
    <row r="20" spans="1:3" x14ac:dyDescent="0.3">
      <c r="A20" s="2">
        <v>1.8000000000000005</v>
      </c>
      <c r="B20" s="24">
        <v>0</v>
      </c>
      <c r="C20" s="24">
        <v>0</v>
      </c>
    </row>
    <row r="21" spans="1:3" x14ac:dyDescent="0.3">
      <c r="A21" s="2">
        <v>1.9000000000000006</v>
      </c>
      <c r="B21" s="24">
        <v>0</v>
      </c>
      <c r="C21" s="24">
        <v>0</v>
      </c>
    </row>
    <row r="22" spans="1:3" x14ac:dyDescent="0.3">
      <c r="A22" s="2">
        <v>2.0000000000000004</v>
      </c>
      <c r="B22" s="24">
        <v>0</v>
      </c>
      <c r="C22" s="24">
        <v>0</v>
      </c>
    </row>
    <row r="23" spans="1:3" x14ac:dyDescent="0.3">
      <c r="A23" s="2">
        <v>2.1000000000000005</v>
      </c>
      <c r="B23" s="24">
        <v>0</v>
      </c>
      <c r="C23" s="24">
        <v>0</v>
      </c>
    </row>
    <row r="24" spans="1:3" x14ac:dyDescent="0.3">
      <c r="A24" s="2">
        <v>2.2000000000000006</v>
      </c>
      <c r="B24" s="24">
        <v>0</v>
      </c>
      <c r="C24" s="24">
        <v>0</v>
      </c>
    </row>
    <row r="25" spans="1:3" x14ac:dyDescent="0.3">
      <c r="A25" s="2">
        <v>2.3000000000000007</v>
      </c>
      <c r="B25" s="24">
        <v>0</v>
      </c>
      <c r="C25" s="24">
        <v>0</v>
      </c>
    </row>
    <row r="26" spans="1:3" x14ac:dyDescent="0.3">
      <c r="A26" s="2">
        <v>2.4000000000000008</v>
      </c>
      <c r="B26">
        <v>0</v>
      </c>
      <c r="C26">
        <v>0</v>
      </c>
    </row>
    <row r="27" spans="1:3" x14ac:dyDescent="0.3">
      <c r="A27" s="2">
        <v>2.5000000000000009</v>
      </c>
      <c r="B27">
        <v>0</v>
      </c>
      <c r="C27">
        <v>0</v>
      </c>
    </row>
    <row r="28" spans="1:3" x14ac:dyDescent="0.3">
      <c r="A28" s="2">
        <v>2.600000000000001</v>
      </c>
      <c r="B28">
        <v>0</v>
      </c>
      <c r="C28">
        <v>0</v>
      </c>
    </row>
    <row r="29" spans="1:3" x14ac:dyDescent="0.3">
      <c r="A29" s="2">
        <v>2.7000000000000011</v>
      </c>
      <c r="B29">
        <v>0</v>
      </c>
      <c r="C29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0E8C6-9166-4EC3-AB29-D81309D5C02C}">
  <dimension ref="A1:N402"/>
  <sheetViews>
    <sheetView zoomScale="67" workbookViewId="0">
      <selection activeCell="H28" sqref="H28"/>
    </sheetView>
  </sheetViews>
  <sheetFormatPr defaultRowHeight="14.4" x14ac:dyDescent="0.3"/>
  <cols>
    <col min="1" max="1" width="9" bestFit="1" customWidth="1"/>
    <col min="2" max="2" width="11.44140625" customWidth="1"/>
    <col min="3" max="3" width="11.88671875" customWidth="1"/>
    <col min="6" max="6" width="10.88671875" customWidth="1"/>
    <col min="13" max="13" width="11.21875" customWidth="1"/>
  </cols>
  <sheetData>
    <row r="1" spans="1:14" x14ac:dyDescent="0.3">
      <c r="A1" s="2" t="s">
        <v>8</v>
      </c>
      <c r="B1" t="s">
        <v>18</v>
      </c>
      <c r="C1" t="s">
        <v>17</v>
      </c>
      <c r="F1" s="17" t="s">
        <v>19</v>
      </c>
      <c r="G1" s="10"/>
      <c r="M1" s="17" t="s">
        <v>20</v>
      </c>
      <c r="N1" s="10"/>
    </row>
    <row r="2" spans="1:14" x14ac:dyDescent="0.3">
      <c r="A2" s="2">
        <v>0</v>
      </c>
      <c r="B2">
        <v>0</v>
      </c>
      <c r="C2">
        <v>0</v>
      </c>
      <c r="F2" t="s">
        <v>23</v>
      </c>
      <c r="G2" s="10">
        <f>AVERAGE(B32:B36)</f>
        <v>0</v>
      </c>
      <c r="M2" t="s">
        <v>23</v>
      </c>
      <c r="N2" s="10">
        <f>AVERAGE(C32:C36)</f>
        <v>0</v>
      </c>
    </row>
    <row r="3" spans="1:14" x14ac:dyDescent="0.3">
      <c r="A3" s="2">
        <f>A2+0.05</f>
        <v>0.05</v>
      </c>
      <c r="B3">
        <v>0</v>
      </c>
      <c r="C3">
        <v>0</v>
      </c>
    </row>
    <row r="4" spans="1:14" x14ac:dyDescent="0.3">
      <c r="A4" s="2">
        <f t="shared" ref="A4:A67" si="0">A3+0.05</f>
        <v>0.1</v>
      </c>
      <c r="B4">
        <v>0</v>
      </c>
      <c r="C4">
        <v>0</v>
      </c>
    </row>
    <row r="5" spans="1:14" x14ac:dyDescent="0.3">
      <c r="A5" s="2">
        <f t="shared" si="0"/>
        <v>0.15000000000000002</v>
      </c>
      <c r="B5">
        <v>0</v>
      </c>
      <c r="C5">
        <v>0</v>
      </c>
    </row>
    <row r="6" spans="1:14" x14ac:dyDescent="0.3">
      <c r="A6" s="2">
        <f t="shared" si="0"/>
        <v>0.2</v>
      </c>
      <c r="B6">
        <v>0</v>
      </c>
      <c r="C6">
        <v>0</v>
      </c>
    </row>
    <row r="7" spans="1:14" x14ac:dyDescent="0.3">
      <c r="A7" s="2">
        <f t="shared" si="0"/>
        <v>0.25</v>
      </c>
      <c r="B7">
        <v>0</v>
      </c>
      <c r="C7">
        <v>0</v>
      </c>
    </row>
    <row r="8" spans="1:14" x14ac:dyDescent="0.3">
      <c r="A8" s="2">
        <f t="shared" si="0"/>
        <v>0.3</v>
      </c>
      <c r="B8">
        <v>0</v>
      </c>
      <c r="C8">
        <v>0</v>
      </c>
    </row>
    <row r="9" spans="1:14" x14ac:dyDescent="0.3">
      <c r="A9" s="2">
        <f t="shared" si="0"/>
        <v>0.35</v>
      </c>
      <c r="B9">
        <v>0</v>
      </c>
      <c r="C9">
        <v>0</v>
      </c>
    </row>
    <row r="10" spans="1:14" x14ac:dyDescent="0.3">
      <c r="A10" s="2">
        <f t="shared" si="0"/>
        <v>0.39999999999999997</v>
      </c>
      <c r="B10">
        <v>0</v>
      </c>
      <c r="C10">
        <v>0</v>
      </c>
    </row>
    <row r="11" spans="1:14" x14ac:dyDescent="0.3">
      <c r="A11" s="2">
        <f t="shared" si="0"/>
        <v>0.44999999999999996</v>
      </c>
      <c r="B11">
        <v>0</v>
      </c>
      <c r="C11">
        <v>0</v>
      </c>
    </row>
    <row r="12" spans="1:14" x14ac:dyDescent="0.3">
      <c r="A12" s="2">
        <f t="shared" si="0"/>
        <v>0.49999999999999994</v>
      </c>
      <c r="B12">
        <v>0</v>
      </c>
      <c r="C12">
        <v>0</v>
      </c>
    </row>
    <row r="13" spans="1:14" x14ac:dyDescent="0.3">
      <c r="A13" s="2">
        <f t="shared" si="0"/>
        <v>0.54999999999999993</v>
      </c>
      <c r="B13">
        <v>0</v>
      </c>
      <c r="C13">
        <v>0</v>
      </c>
    </row>
    <row r="14" spans="1:14" x14ac:dyDescent="0.3">
      <c r="A14" s="2">
        <f t="shared" si="0"/>
        <v>0.6</v>
      </c>
      <c r="B14">
        <v>0</v>
      </c>
      <c r="C14">
        <v>0</v>
      </c>
    </row>
    <row r="15" spans="1:14" x14ac:dyDescent="0.3">
      <c r="A15" s="2">
        <f t="shared" si="0"/>
        <v>0.65</v>
      </c>
      <c r="B15">
        <v>0</v>
      </c>
      <c r="C15">
        <v>0</v>
      </c>
    </row>
    <row r="16" spans="1:14" x14ac:dyDescent="0.3">
      <c r="A16" s="2">
        <f t="shared" si="0"/>
        <v>0.70000000000000007</v>
      </c>
      <c r="B16">
        <v>0</v>
      </c>
      <c r="C16">
        <v>0</v>
      </c>
    </row>
    <row r="17" spans="1:3" x14ac:dyDescent="0.3">
      <c r="A17" s="2">
        <f t="shared" si="0"/>
        <v>0.75000000000000011</v>
      </c>
      <c r="B17">
        <v>0</v>
      </c>
      <c r="C17">
        <v>0</v>
      </c>
    </row>
    <row r="18" spans="1:3" x14ac:dyDescent="0.3">
      <c r="A18" s="2">
        <f t="shared" si="0"/>
        <v>0.80000000000000016</v>
      </c>
      <c r="B18">
        <v>0</v>
      </c>
      <c r="C18">
        <v>0</v>
      </c>
    </row>
    <row r="19" spans="1:3" x14ac:dyDescent="0.3">
      <c r="A19" s="2">
        <f t="shared" si="0"/>
        <v>0.8500000000000002</v>
      </c>
      <c r="B19">
        <v>0</v>
      </c>
      <c r="C19">
        <v>0</v>
      </c>
    </row>
    <row r="20" spans="1:3" x14ac:dyDescent="0.3">
      <c r="A20" s="2">
        <f t="shared" si="0"/>
        <v>0.90000000000000024</v>
      </c>
      <c r="B20">
        <v>0</v>
      </c>
      <c r="C20">
        <v>0</v>
      </c>
    </row>
    <row r="21" spans="1:3" x14ac:dyDescent="0.3">
      <c r="A21" s="2">
        <f t="shared" si="0"/>
        <v>0.95000000000000029</v>
      </c>
      <c r="B21">
        <v>0</v>
      </c>
      <c r="C21">
        <v>0</v>
      </c>
    </row>
    <row r="22" spans="1:3" x14ac:dyDescent="0.3">
      <c r="A22" s="2">
        <f t="shared" si="0"/>
        <v>1.0000000000000002</v>
      </c>
      <c r="B22">
        <v>0</v>
      </c>
      <c r="C22">
        <v>0</v>
      </c>
    </row>
    <row r="23" spans="1:3" x14ac:dyDescent="0.3">
      <c r="A23" s="2">
        <f t="shared" si="0"/>
        <v>1.0500000000000003</v>
      </c>
      <c r="B23">
        <v>0</v>
      </c>
      <c r="C23">
        <v>0</v>
      </c>
    </row>
    <row r="24" spans="1:3" x14ac:dyDescent="0.3">
      <c r="A24" s="2">
        <f t="shared" si="0"/>
        <v>1.1000000000000003</v>
      </c>
      <c r="B24">
        <v>0</v>
      </c>
      <c r="C24">
        <v>0</v>
      </c>
    </row>
    <row r="25" spans="1:3" x14ac:dyDescent="0.3">
      <c r="A25" s="2">
        <f t="shared" si="0"/>
        <v>1.1500000000000004</v>
      </c>
      <c r="B25">
        <v>0</v>
      </c>
      <c r="C25">
        <v>0</v>
      </c>
    </row>
    <row r="26" spans="1:3" x14ac:dyDescent="0.3">
      <c r="A26" s="2">
        <f t="shared" si="0"/>
        <v>1.2000000000000004</v>
      </c>
      <c r="B26">
        <v>0</v>
      </c>
      <c r="C26">
        <v>0</v>
      </c>
    </row>
    <row r="27" spans="1:3" x14ac:dyDescent="0.3">
      <c r="A27" s="2">
        <f t="shared" si="0"/>
        <v>1.2500000000000004</v>
      </c>
      <c r="B27">
        <v>0</v>
      </c>
      <c r="C27">
        <v>0</v>
      </c>
    </row>
    <row r="28" spans="1:3" x14ac:dyDescent="0.3">
      <c r="A28" s="2">
        <f t="shared" si="0"/>
        <v>1.3000000000000005</v>
      </c>
      <c r="B28">
        <v>0</v>
      </c>
      <c r="C28">
        <v>0</v>
      </c>
    </row>
    <row r="29" spans="1:3" x14ac:dyDescent="0.3">
      <c r="A29" s="2">
        <f t="shared" si="0"/>
        <v>1.3500000000000005</v>
      </c>
      <c r="B29">
        <v>0</v>
      </c>
      <c r="C29">
        <v>0</v>
      </c>
    </row>
    <row r="30" spans="1:3" x14ac:dyDescent="0.3">
      <c r="A30" s="2">
        <f t="shared" si="0"/>
        <v>1.4000000000000006</v>
      </c>
      <c r="B30">
        <v>0</v>
      </c>
      <c r="C30">
        <v>0</v>
      </c>
    </row>
    <row r="31" spans="1:3" x14ac:dyDescent="0.3">
      <c r="A31" s="2">
        <f t="shared" si="0"/>
        <v>1.4500000000000006</v>
      </c>
      <c r="B31">
        <v>0</v>
      </c>
      <c r="C31">
        <v>0</v>
      </c>
    </row>
    <row r="32" spans="1:3" x14ac:dyDescent="0.3">
      <c r="A32" s="2">
        <f t="shared" si="0"/>
        <v>1.5000000000000007</v>
      </c>
      <c r="B32">
        <v>0</v>
      </c>
      <c r="C32">
        <v>0</v>
      </c>
    </row>
    <row r="33" spans="1:3" x14ac:dyDescent="0.3">
      <c r="A33" s="2">
        <f t="shared" si="0"/>
        <v>1.5500000000000007</v>
      </c>
      <c r="B33">
        <v>0</v>
      </c>
      <c r="C33">
        <v>0</v>
      </c>
    </row>
    <row r="34" spans="1:3" x14ac:dyDescent="0.3">
      <c r="A34" s="2">
        <f t="shared" si="0"/>
        <v>1.6000000000000008</v>
      </c>
      <c r="B34">
        <v>0</v>
      </c>
      <c r="C34">
        <v>0</v>
      </c>
    </row>
    <row r="35" spans="1:3" x14ac:dyDescent="0.3">
      <c r="A35" s="2">
        <f t="shared" si="0"/>
        <v>1.6500000000000008</v>
      </c>
      <c r="B35">
        <v>0</v>
      </c>
      <c r="C35">
        <v>0</v>
      </c>
    </row>
    <row r="36" spans="1:3" x14ac:dyDescent="0.3">
      <c r="A36" s="2">
        <f t="shared" si="0"/>
        <v>1.7000000000000008</v>
      </c>
      <c r="B36">
        <v>0</v>
      </c>
      <c r="C36">
        <v>0</v>
      </c>
    </row>
    <row r="37" spans="1:3" x14ac:dyDescent="0.3">
      <c r="A37" s="2">
        <f t="shared" si="0"/>
        <v>1.7500000000000009</v>
      </c>
      <c r="B37">
        <v>0</v>
      </c>
      <c r="C37">
        <v>0</v>
      </c>
    </row>
    <row r="38" spans="1:3" x14ac:dyDescent="0.3">
      <c r="A38" s="2">
        <f t="shared" si="0"/>
        <v>1.8000000000000009</v>
      </c>
      <c r="B38">
        <v>0</v>
      </c>
      <c r="C38">
        <v>0</v>
      </c>
    </row>
    <row r="39" spans="1:3" x14ac:dyDescent="0.3">
      <c r="A39" s="2">
        <f t="shared" si="0"/>
        <v>1.850000000000001</v>
      </c>
      <c r="B39">
        <v>0</v>
      </c>
      <c r="C39">
        <v>0</v>
      </c>
    </row>
    <row r="40" spans="1:3" x14ac:dyDescent="0.3">
      <c r="A40" s="2">
        <f t="shared" si="0"/>
        <v>1.900000000000001</v>
      </c>
      <c r="B40">
        <v>0</v>
      </c>
      <c r="C40">
        <v>0</v>
      </c>
    </row>
    <row r="41" spans="1:3" x14ac:dyDescent="0.3">
      <c r="A41" s="2">
        <f t="shared" si="0"/>
        <v>1.9500000000000011</v>
      </c>
      <c r="B41">
        <v>0</v>
      </c>
      <c r="C41">
        <v>0</v>
      </c>
    </row>
    <row r="42" spans="1:3" x14ac:dyDescent="0.3">
      <c r="A42" s="2">
        <f t="shared" si="0"/>
        <v>2.0000000000000009</v>
      </c>
      <c r="B42">
        <v>0</v>
      </c>
      <c r="C42">
        <v>0</v>
      </c>
    </row>
    <row r="43" spans="1:3" x14ac:dyDescent="0.3">
      <c r="A43" s="2">
        <f t="shared" si="0"/>
        <v>2.0500000000000007</v>
      </c>
      <c r="B43">
        <v>0</v>
      </c>
      <c r="C43">
        <v>0</v>
      </c>
    </row>
    <row r="44" spans="1:3" x14ac:dyDescent="0.3">
      <c r="A44" s="2">
        <f t="shared" si="0"/>
        <v>2.1000000000000005</v>
      </c>
      <c r="B44">
        <v>0</v>
      </c>
      <c r="C44">
        <v>0</v>
      </c>
    </row>
    <row r="45" spans="1:3" x14ac:dyDescent="0.3">
      <c r="A45" s="2">
        <f t="shared" si="0"/>
        <v>2.1500000000000004</v>
      </c>
      <c r="B45">
        <v>0</v>
      </c>
      <c r="C45">
        <v>0</v>
      </c>
    </row>
    <row r="46" spans="1:3" x14ac:dyDescent="0.3">
      <c r="A46" s="2">
        <f t="shared" si="0"/>
        <v>2.2000000000000002</v>
      </c>
      <c r="B46">
        <v>0</v>
      </c>
      <c r="C46">
        <v>0</v>
      </c>
    </row>
    <row r="47" spans="1:3" x14ac:dyDescent="0.3">
      <c r="A47" s="2">
        <f t="shared" si="0"/>
        <v>2.25</v>
      </c>
      <c r="B47">
        <v>0</v>
      </c>
      <c r="C47">
        <v>0</v>
      </c>
    </row>
    <row r="48" spans="1:3" x14ac:dyDescent="0.3">
      <c r="A48" s="2">
        <f t="shared" si="0"/>
        <v>2.2999999999999998</v>
      </c>
      <c r="B48">
        <v>0</v>
      </c>
      <c r="C48">
        <v>0</v>
      </c>
    </row>
    <row r="49" spans="1:3" x14ac:dyDescent="0.3">
      <c r="A49" s="2">
        <f t="shared" si="0"/>
        <v>2.3499999999999996</v>
      </c>
      <c r="B49">
        <v>0</v>
      </c>
      <c r="C49">
        <v>0</v>
      </c>
    </row>
    <row r="50" spans="1:3" x14ac:dyDescent="0.3">
      <c r="A50" s="2">
        <f t="shared" si="0"/>
        <v>2.3999999999999995</v>
      </c>
      <c r="B50">
        <v>0</v>
      </c>
      <c r="C50">
        <v>0</v>
      </c>
    </row>
    <row r="51" spans="1:3" x14ac:dyDescent="0.3">
      <c r="A51" s="2">
        <f t="shared" si="0"/>
        <v>2.4499999999999993</v>
      </c>
      <c r="B51">
        <v>0</v>
      </c>
      <c r="C51">
        <v>0</v>
      </c>
    </row>
    <row r="52" spans="1:3" x14ac:dyDescent="0.3">
      <c r="A52" s="2">
        <f t="shared" si="0"/>
        <v>2.4999999999999991</v>
      </c>
      <c r="B52">
        <v>0</v>
      </c>
      <c r="C52">
        <v>0</v>
      </c>
    </row>
    <row r="53" spans="1:3" x14ac:dyDescent="0.3">
      <c r="A53" s="2">
        <f t="shared" si="0"/>
        <v>2.5499999999999989</v>
      </c>
      <c r="B53">
        <v>0</v>
      </c>
      <c r="C53">
        <v>0</v>
      </c>
    </row>
    <row r="54" spans="1:3" x14ac:dyDescent="0.3">
      <c r="A54" s="2">
        <f t="shared" si="0"/>
        <v>2.5999999999999988</v>
      </c>
      <c r="B54">
        <v>0</v>
      </c>
      <c r="C54">
        <v>0</v>
      </c>
    </row>
    <row r="55" spans="1:3" x14ac:dyDescent="0.3">
      <c r="A55" s="2">
        <f t="shared" si="0"/>
        <v>2.6499999999999986</v>
      </c>
      <c r="B55">
        <v>0</v>
      </c>
      <c r="C55">
        <v>0</v>
      </c>
    </row>
    <row r="56" spans="1:3" x14ac:dyDescent="0.3">
      <c r="A56" s="2">
        <f t="shared" si="0"/>
        <v>2.6999999999999984</v>
      </c>
      <c r="B56">
        <v>0</v>
      </c>
      <c r="C56">
        <v>0</v>
      </c>
    </row>
    <row r="57" spans="1:3" x14ac:dyDescent="0.3">
      <c r="A57" s="2">
        <f t="shared" si="0"/>
        <v>2.7499999999999982</v>
      </c>
      <c r="B57">
        <v>0</v>
      </c>
      <c r="C57">
        <v>0</v>
      </c>
    </row>
    <row r="58" spans="1:3" x14ac:dyDescent="0.3">
      <c r="A58" s="2">
        <f t="shared" si="0"/>
        <v>2.799999999999998</v>
      </c>
      <c r="B58">
        <v>0</v>
      </c>
      <c r="C58">
        <v>0</v>
      </c>
    </row>
    <row r="59" spans="1:3" x14ac:dyDescent="0.3">
      <c r="A59" s="2">
        <f t="shared" si="0"/>
        <v>2.8499999999999979</v>
      </c>
      <c r="B59">
        <v>0</v>
      </c>
      <c r="C59">
        <v>0</v>
      </c>
    </row>
    <row r="60" spans="1:3" x14ac:dyDescent="0.3">
      <c r="A60" s="2">
        <f t="shared" si="0"/>
        <v>2.8999999999999977</v>
      </c>
      <c r="B60">
        <v>0</v>
      </c>
      <c r="C60">
        <v>0</v>
      </c>
    </row>
    <row r="61" spans="1:3" x14ac:dyDescent="0.3">
      <c r="A61" s="2">
        <f t="shared" si="0"/>
        <v>2.9499999999999975</v>
      </c>
      <c r="B61">
        <v>0</v>
      </c>
      <c r="C61">
        <v>0</v>
      </c>
    </row>
    <row r="62" spans="1:3" x14ac:dyDescent="0.3">
      <c r="A62" s="2">
        <f t="shared" si="0"/>
        <v>2.9999999999999973</v>
      </c>
      <c r="B62">
        <v>0</v>
      </c>
      <c r="C62">
        <v>0</v>
      </c>
    </row>
    <row r="63" spans="1:3" x14ac:dyDescent="0.3">
      <c r="A63" s="2">
        <f t="shared" si="0"/>
        <v>3.0499999999999972</v>
      </c>
      <c r="B63">
        <v>0</v>
      </c>
      <c r="C63">
        <v>0</v>
      </c>
    </row>
    <row r="64" spans="1:3" x14ac:dyDescent="0.3">
      <c r="A64" s="2">
        <f t="shared" si="0"/>
        <v>3.099999999999997</v>
      </c>
      <c r="B64">
        <v>0</v>
      </c>
      <c r="C64">
        <v>0</v>
      </c>
    </row>
    <row r="65" spans="1:3" x14ac:dyDescent="0.3">
      <c r="A65" s="2">
        <f t="shared" si="0"/>
        <v>3.1499999999999968</v>
      </c>
      <c r="B65">
        <v>0</v>
      </c>
      <c r="C65">
        <v>0</v>
      </c>
    </row>
    <row r="66" spans="1:3" x14ac:dyDescent="0.3">
      <c r="A66" s="2">
        <f t="shared" si="0"/>
        <v>3.1999999999999966</v>
      </c>
      <c r="B66">
        <v>0</v>
      </c>
      <c r="C66">
        <v>0</v>
      </c>
    </row>
    <row r="67" spans="1:3" x14ac:dyDescent="0.3">
      <c r="A67" s="2">
        <f t="shared" si="0"/>
        <v>3.2499999999999964</v>
      </c>
      <c r="B67">
        <v>0</v>
      </c>
      <c r="C67">
        <v>0</v>
      </c>
    </row>
    <row r="68" spans="1:3" x14ac:dyDescent="0.3">
      <c r="A68" s="2">
        <f t="shared" ref="A68:A131" si="1">A67+0.05</f>
        <v>3.2999999999999963</v>
      </c>
      <c r="B68">
        <v>0</v>
      </c>
      <c r="C68">
        <v>0</v>
      </c>
    </row>
    <row r="69" spans="1:3" x14ac:dyDescent="0.3">
      <c r="A69" s="2">
        <f t="shared" si="1"/>
        <v>3.3499999999999961</v>
      </c>
      <c r="B69">
        <v>0</v>
      </c>
      <c r="C69">
        <v>0</v>
      </c>
    </row>
    <row r="70" spans="1:3" x14ac:dyDescent="0.3">
      <c r="A70" s="2">
        <f t="shared" si="1"/>
        <v>3.3999999999999959</v>
      </c>
      <c r="B70">
        <v>0</v>
      </c>
      <c r="C70">
        <v>0</v>
      </c>
    </row>
    <row r="71" spans="1:3" x14ac:dyDescent="0.3">
      <c r="A71" s="2">
        <f t="shared" si="1"/>
        <v>3.4499999999999957</v>
      </c>
      <c r="B71">
        <v>0</v>
      </c>
      <c r="C71">
        <v>0</v>
      </c>
    </row>
    <row r="72" spans="1:3" x14ac:dyDescent="0.3">
      <c r="A72" s="2">
        <f t="shared" si="1"/>
        <v>3.4999999999999956</v>
      </c>
      <c r="B72">
        <v>0</v>
      </c>
      <c r="C72">
        <v>0</v>
      </c>
    </row>
    <row r="73" spans="1:3" x14ac:dyDescent="0.3">
      <c r="A73" s="2">
        <f t="shared" si="1"/>
        <v>3.5499999999999954</v>
      </c>
      <c r="B73">
        <v>0</v>
      </c>
      <c r="C73">
        <v>0</v>
      </c>
    </row>
    <row r="74" spans="1:3" x14ac:dyDescent="0.3">
      <c r="A74" s="2">
        <f t="shared" si="1"/>
        <v>3.5999999999999952</v>
      </c>
      <c r="B74">
        <v>0</v>
      </c>
      <c r="C74">
        <v>0</v>
      </c>
    </row>
    <row r="75" spans="1:3" x14ac:dyDescent="0.3">
      <c r="A75" s="2">
        <f t="shared" si="1"/>
        <v>3.649999999999995</v>
      </c>
      <c r="B75">
        <v>0</v>
      </c>
      <c r="C75">
        <v>0</v>
      </c>
    </row>
    <row r="76" spans="1:3" x14ac:dyDescent="0.3">
      <c r="A76" s="2">
        <f t="shared" si="1"/>
        <v>3.6999999999999948</v>
      </c>
      <c r="B76">
        <v>0</v>
      </c>
      <c r="C76">
        <v>0</v>
      </c>
    </row>
    <row r="77" spans="1:3" x14ac:dyDescent="0.3">
      <c r="A77" s="2">
        <f t="shared" si="1"/>
        <v>3.7499999999999947</v>
      </c>
      <c r="B77">
        <v>0</v>
      </c>
      <c r="C77">
        <v>0</v>
      </c>
    </row>
    <row r="78" spans="1:3" x14ac:dyDescent="0.3">
      <c r="A78" s="2">
        <f t="shared" si="1"/>
        <v>3.7999999999999945</v>
      </c>
      <c r="B78">
        <v>0</v>
      </c>
      <c r="C78">
        <v>0</v>
      </c>
    </row>
    <row r="79" spans="1:3" x14ac:dyDescent="0.3">
      <c r="A79" s="2">
        <f t="shared" si="1"/>
        <v>3.8499999999999943</v>
      </c>
      <c r="B79">
        <v>0</v>
      </c>
      <c r="C79">
        <v>0</v>
      </c>
    </row>
    <row r="80" spans="1:3" x14ac:dyDescent="0.3">
      <c r="A80" s="2">
        <f t="shared" si="1"/>
        <v>3.8999999999999941</v>
      </c>
      <c r="B80">
        <v>0</v>
      </c>
      <c r="C80">
        <v>0</v>
      </c>
    </row>
    <row r="81" spans="1:3" x14ac:dyDescent="0.3">
      <c r="A81" s="2">
        <f t="shared" si="1"/>
        <v>3.949999999999994</v>
      </c>
      <c r="B81">
        <v>0</v>
      </c>
      <c r="C81">
        <v>0</v>
      </c>
    </row>
    <row r="82" spans="1:3" x14ac:dyDescent="0.3">
      <c r="A82" s="2">
        <f t="shared" si="1"/>
        <v>3.9999999999999938</v>
      </c>
      <c r="B82">
        <v>0</v>
      </c>
      <c r="C82">
        <v>0</v>
      </c>
    </row>
    <row r="83" spans="1:3" x14ac:dyDescent="0.3">
      <c r="A83" s="2">
        <f t="shared" si="1"/>
        <v>4.0499999999999936</v>
      </c>
      <c r="B83">
        <v>0</v>
      </c>
      <c r="C83">
        <v>0</v>
      </c>
    </row>
    <row r="84" spans="1:3" x14ac:dyDescent="0.3">
      <c r="A84" s="2">
        <f t="shared" si="1"/>
        <v>4.0999999999999934</v>
      </c>
      <c r="B84">
        <v>0</v>
      </c>
      <c r="C84">
        <v>0</v>
      </c>
    </row>
    <row r="85" spans="1:3" x14ac:dyDescent="0.3">
      <c r="A85" s="2">
        <f t="shared" si="1"/>
        <v>4.1499999999999932</v>
      </c>
      <c r="B85">
        <v>0</v>
      </c>
      <c r="C85">
        <v>0</v>
      </c>
    </row>
    <row r="86" spans="1:3" x14ac:dyDescent="0.3">
      <c r="A86" s="2">
        <f t="shared" si="1"/>
        <v>4.1999999999999931</v>
      </c>
      <c r="B86">
        <v>0</v>
      </c>
      <c r="C86">
        <v>0</v>
      </c>
    </row>
    <row r="87" spans="1:3" x14ac:dyDescent="0.3">
      <c r="A87" s="2">
        <f t="shared" si="1"/>
        <v>4.2499999999999929</v>
      </c>
      <c r="B87">
        <v>0</v>
      </c>
      <c r="C87">
        <v>0</v>
      </c>
    </row>
    <row r="88" spans="1:3" x14ac:dyDescent="0.3">
      <c r="A88" s="2">
        <f t="shared" si="1"/>
        <v>4.2999999999999927</v>
      </c>
      <c r="B88">
        <v>0</v>
      </c>
      <c r="C88">
        <v>0</v>
      </c>
    </row>
    <row r="89" spans="1:3" x14ac:dyDescent="0.3">
      <c r="A89" s="2">
        <f t="shared" si="1"/>
        <v>4.3499999999999925</v>
      </c>
      <c r="B89">
        <v>0</v>
      </c>
      <c r="C89">
        <v>0</v>
      </c>
    </row>
    <row r="90" spans="1:3" x14ac:dyDescent="0.3">
      <c r="A90" s="2">
        <f t="shared" si="1"/>
        <v>4.3999999999999924</v>
      </c>
      <c r="B90">
        <v>0</v>
      </c>
      <c r="C90">
        <v>0</v>
      </c>
    </row>
    <row r="91" spans="1:3" x14ac:dyDescent="0.3">
      <c r="A91" s="2">
        <f t="shared" si="1"/>
        <v>4.4499999999999922</v>
      </c>
      <c r="B91">
        <v>0</v>
      </c>
      <c r="C91">
        <v>0</v>
      </c>
    </row>
    <row r="92" spans="1:3" x14ac:dyDescent="0.3">
      <c r="A92" s="2">
        <f t="shared" si="1"/>
        <v>4.499999999999992</v>
      </c>
      <c r="B92">
        <v>0</v>
      </c>
      <c r="C92">
        <v>0</v>
      </c>
    </row>
    <row r="93" spans="1:3" x14ac:dyDescent="0.3">
      <c r="A93" s="2">
        <f t="shared" si="1"/>
        <v>4.5499999999999918</v>
      </c>
      <c r="B93">
        <v>0</v>
      </c>
      <c r="C93">
        <v>0</v>
      </c>
    </row>
    <row r="94" spans="1:3" x14ac:dyDescent="0.3">
      <c r="A94" s="2">
        <f t="shared" si="1"/>
        <v>4.5999999999999917</v>
      </c>
      <c r="B94">
        <v>0</v>
      </c>
      <c r="C94">
        <v>0</v>
      </c>
    </row>
    <row r="95" spans="1:3" x14ac:dyDescent="0.3">
      <c r="A95" s="2">
        <f t="shared" si="1"/>
        <v>4.6499999999999915</v>
      </c>
      <c r="B95">
        <v>0</v>
      </c>
      <c r="C95">
        <v>0</v>
      </c>
    </row>
    <row r="96" spans="1:3" x14ac:dyDescent="0.3">
      <c r="A96" s="2">
        <f t="shared" si="1"/>
        <v>4.6999999999999913</v>
      </c>
      <c r="B96">
        <v>0</v>
      </c>
      <c r="C96">
        <v>0</v>
      </c>
    </row>
    <row r="97" spans="1:3" x14ac:dyDescent="0.3">
      <c r="A97" s="2">
        <f t="shared" si="1"/>
        <v>4.7499999999999911</v>
      </c>
      <c r="B97">
        <v>0</v>
      </c>
      <c r="C97">
        <v>0</v>
      </c>
    </row>
    <row r="98" spans="1:3" x14ac:dyDescent="0.3">
      <c r="A98" s="2">
        <f t="shared" si="1"/>
        <v>4.7999999999999909</v>
      </c>
      <c r="B98">
        <v>0</v>
      </c>
      <c r="C98">
        <v>0</v>
      </c>
    </row>
    <row r="99" spans="1:3" x14ac:dyDescent="0.3">
      <c r="A99" s="2">
        <f t="shared" si="1"/>
        <v>4.8499999999999908</v>
      </c>
      <c r="B99">
        <v>0</v>
      </c>
      <c r="C99">
        <v>0</v>
      </c>
    </row>
    <row r="100" spans="1:3" x14ac:dyDescent="0.3">
      <c r="A100" s="2">
        <f t="shared" si="1"/>
        <v>4.8999999999999906</v>
      </c>
      <c r="B100">
        <v>0</v>
      </c>
      <c r="C100">
        <v>0</v>
      </c>
    </row>
    <row r="101" spans="1:3" x14ac:dyDescent="0.3">
      <c r="A101" s="2">
        <f t="shared" si="1"/>
        <v>4.9499999999999904</v>
      </c>
      <c r="B101">
        <v>0</v>
      </c>
      <c r="C101">
        <v>0</v>
      </c>
    </row>
    <row r="102" spans="1:3" x14ac:dyDescent="0.3">
      <c r="A102" s="2">
        <f t="shared" si="1"/>
        <v>4.9999999999999902</v>
      </c>
      <c r="B102">
        <v>0</v>
      </c>
      <c r="C102">
        <v>0</v>
      </c>
    </row>
    <row r="103" spans="1:3" x14ac:dyDescent="0.3">
      <c r="A103" s="2">
        <f t="shared" si="1"/>
        <v>5.0499999999999901</v>
      </c>
      <c r="B103">
        <v>0</v>
      </c>
      <c r="C103">
        <v>0</v>
      </c>
    </row>
    <row r="104" spans="1:3" x14ac:dyDescent="0.3">
      <c r="A104" s="2">
        <f t="shared" si="1"/>
        <v>5.0999999999999899</v>
      </c>
      <c r="B104">
        <v>0</v>
      </c>
      <c r="C104">
        <v>0</v>
      </c>
    </row>
    <row r="105" spans="1:3" x14ac:dyDescent="0.3">
      <c r="A105" s="2">
        <f t="shared" si="1"/>
        <v>5.1499999999999897</v>
      </c>
      <c r="B105">
        <v>0</v>
      </c>
      <c r="C105">
        <v>0</v>
      </c>
    </row>
    <row r="106" spans="1:3" x14ac:dyDescent="0.3">
      <c r="A106" s="2">
        <f t="shared" si="1"/>
        <v>5.1999999999999895</v>
      </c>
      <c r="B106">
        <v>0</v>
      </c>
      <c r="C106">
        <v>0</v>
      </c>
    </row>
    <row r="107" spans="1:3" x14ac:dyDescent="0.3">
      <c r="A107" s="2">
        <f t="shared" si="1"/>
        <v>5.2499999999999893</v>
      </c>
      <c r="B107">
        <v>0</v>
      </c>
      <c r="C107">
        <v>0</v>
      </c>
    </row>
    <row r="108" spans="1:3" x14ac:dyDescent="0.3">
      <c r="A108" s="2">
        <f t="shared" si="1"/>
        <v>5.2999999999999892</v>
      </c>
      <c r="B108">
        <v>0</v>
      </c>
      <c r="C108">
        <v>0</v>
      </c>
    </row>
    <row r="109" spans="1:3" x14ac:dyDescent="0.3">
      <c r="A109" s="2">
        <f t="shared" si="1"/>
        <v>5.349999999999989</v>
      </c>
      <c r="B109">
        <v>0</v>
      </c>
      <c r="C109">
        <v>0</v>
      </c>
    </row>
    <row r="110" spans="1:3" x14ac:dyDescent="0.3">
      <c r="A110" s="2">
        <f t="shared" si="1"/>
        <v>5.3999999999999888</v>
      </c>
      <c r="B110">
        <v>0</v>
      </c>
      <c r="C110">
        <v>0</v>
      </c>
    </row>
    <row r="111" spans="1:3" x14ac:dyDescent="0.3">
      <c r="A111" s="2">
        <f t="shared" si="1"/>
        <v>5.4499999999999886</v>
      </c>
      <c r="B111">
        <v>0</v>
      </c>
      <c r="C111">
        <v>0</v>
      </c>
    </row>
    <row r="112" spans="1:3" x14ac:dyDescent="0.3">
      <c r="A112" s="2">
        <f t="shared" si="1"/>
        <v>5.4999999999999885</v>
      </c>
      <c r="B112">
        <v>0</v>
      </c>
      <c r="C112">
        <v>0</v>
      </c>
    </row>
    <row r="113" spans="1:3" x14ac:dyDescent="0.3">
      <c r="A113" s="2">
        <f t="shared" si="1"/>
        <v>5.5499999999999883</v>
      </c>
      <c r="B113">
        <v>0</v>
      </c>
      <c r="C113">
        <v>0</v>
      </c>
    </row>
    <row r="114" spans="1:3" x14ac:dyDescent="0.3">
      <c r="A114" s="2">
        <f t="shared" si="1"/>
        <v>5.5999999999999881</v>
      </c>
      <c r="B114">
        <v>0</v>
      </c>
      <c r="C114">
        <v>0</v>
      </c>
    </row>
    <row r="115" spans="1:3" x14ac:dyDescent="0.3">
      <c r="A115" s="2">
        <f t="shared" si="1"/>
        <v>5.6499999999999879</v>
      </c>
      <c r="B115">
        <v>0</v>
      </c>
      <c r="C115">
        <v>0</v>
      </c>
    </row>
    <row r="116" spans="1:3" x14ac:dyDescent="0.3">
      <c r="A116" s="2">
        <f t="shared" si="1"/>
        <v>5.6999999999999877</v>
      </c>
      <c r="B116">
        <v>0</v>
      </c>
      <c r="C116">
        <v>0</v>
      </c>
    </row>
    <row r="117" spans="1:3" x14ac:dyDescent="0.3">
      <c r="A117" s="2">
        <f t="shared" si="1"/>
        <v>5.7499999999999876</v>
      </c>
      <c r="B117">
        <v>0</v>
      </c>
      <c r="C117">
        <v>0</v>
      </c>
    </row>
    <row r="118" spans="1:3" x14ac:dyDescent="0.3">
      <c r="A118" s="2">
        <f t="shared" si="1"/>
        <v>5.7999999999999874</v>
      </c>
      <c r="B118">
        <v>0</v>
      </c>
      <c r="C118">
        <v>0</v>
      </c>
    </row>
    <row r="119" spans="1:3" x14ac:dyDescent="0.3">
      <c r="A119" s="2">
        <f t="shared" si="1"/>
        <v>5.8499999999999872</v>
      </c>
      <c r="B119">
        <v>0</v>
      </c>
      <c r="C119">
        <v>0</v>
      </c>
    </row>
    <row r="120" spans="1:3" x14ac:dyDescent="0.3">
      <c r="A120" s="2">
        <f t="shared" si="1"/>
        <v>5.899999999999987</v>
      </c>
      <c r="B120">
        <v>0</v>
      </c>
      <c r="C120">
        <v>0</v>
      </c>
    </row>
    <row r="121" spans="1:3" x14ac:dyDescent="0.3">
      <c r="A121" s="2">
        <f t="shared" si="1"/>
        <v>5.9499999999999869</v>
      </c>
      <c r="B121">
        <v>0</v>
      </c>
      <c r="C121">
        <v>0</v>
      </c>
    </row>
    <row r="122" spans="1:3" x14ac:dyDescent="0.3">
      <c r="A122" s="2">
        <f t="shared" si="1"/>
        <v>5.9999999999999867</v>
      </c>
      <c r="B122">
        <v>0</v>
      </c>
      <c r="C122">
        <v>0</v>
      </c>
    </row>
    <row r="123" spans="1:3" x14ac:dyDescent="0.3">
      <c r="A123" s="2">
        <f t="shared" si="1"/>
        <v>6.0499999999999865</v>
      </c>
      <c r="B123">
        <v>0</v>
      </c>
      <c r="C123">
        <v>0</v>
      </c>
    </row>
    <row r="124" spans="1:3" x14ac:dyDescent="0.3">
      <c r="A124" s="2">
        <f t="shared" si="1"/>
        <v>6.0999999999999863</v>
      </c>
      <c r="B124">
        <v>0</v>
      </c>
      <c r="C124">
        <v>0</v>
      </c>
    </row>
    <row r="125" spans="1:3" x14ac:dyDescent="0.3">
      <c r="A125" s="2">
        <f t="shared" si="1"/>
        <v>6.1499999999999861</v>
      </c>
      <c r="B125">
        <v>0</v>
      </c>
      <c r="C125">
        <v>0</v>
      </c>
    </row>
    <row r="126" spans="1:3" x14ac:dyDescent="0.3">
      <c r="A126" s="2">
        <f t="shared" si="1"/>
        <v>6.199999999999986</v>
      </c>
      <c r="B126">
        <v>0</v>
      </c>
      <c r="C126">
        <v>0</v>
      </c>
    </row>
    <row r="127" spans="1:3" x14ac:dyDescent="0.3">
      <c r="A127" s="2">
        <f t="shared" si="1"/>
        <v>6.2499999999999858</v>
      </c>
      <c r="B127">
        <v>0</v>
      </c>
      <c r="C127">
        <v>0</v>
      </c>
    </row>
    <row r="128" spans="1:3" x14ac:dyDescent="0.3">
      <c r="A128" s="2">
        <f t="shared" si="1"/>
        <v>6.2999999999999856</v>
      </c>
      <c r="B128">
        <v>0</v>
      </c>
      <c r="C128">
        <v>0</v>
      </c>
    </row>
    <row r="129" spans="1:3" x14ac:dyDescent="0.3">
      <c r="A129" s="2">
        <f t="shared" si="1"/>
        <v>6.3499999999999854</v>
      </c>
      <c r="B129">
        <v>0</v>
      </c>
      <c r="C129">
        <v>0</v>
      </c>
    </row>
    <row r="130" spans="1:3" x14ac:dyDescent="0.3">
      <c r="A130" s="2">
        <f t="shared" si="1"/>
        <v>6.3999999999999853</v>
      </c>
      <c r="B130">
        <v>0</v>
      </c>
      <c r="C130">
        <v>0</v>
      </c>
    </row>
    <row r="131" spans="1:3" x14ac:dyDescent="0.3">
      <c r="A131" s="2">
        <f t="shared" si="1"/>
        <v>6.4499999999999851</v>
      </c>
      <c r="B131">
        <v>0</v>
      </c>
      <c r="C131">
        <v>0</v>
      </c>
    </row>
    <row r="132" spans="1:3" x14ac:dyDescent="0.3">
      <c r="A132" s="2">
        <f t="shared" ref="A132:A195" si="2">A131+0.05</f>
        <v>6.4999999999999849</v>
      </c>
      <c r="B132">
        <v>0</v>
      </c>
      <c r="C132">
        <v>0</v>
      </c>
    </row>
    <row r="133" spans="1:3" x14ac:dyDescent="0.3">
      <c r="A133" s="2">
        <f t="shared" si="2"/>
        <v>6.5499999999999847</v>
      </c>
      <c r="B133">
        <v>0</v>
      </c>
      <c r="C133">
        <v>0</v>
      </c>
    </row>
    <row r="134" spans="1:3" x14ac:dyDescent="0.3">
      <c r="A134" s="2">
        <f t="shared" si="2"/>
        <v>6.5999999999999845</v>
      </c>
      <c r="B134">
        <v>0</v>
      </c>
      <c r="C134">
        <v>0</v>
      </c>
    </row>
    <row r="135" spans="1:3" x14ac:dyDescent="0.3">
      <c r="A135" s="2">
        <f t="shared" si="2"/>
        <v>6.6499999999999844</v>
      </c>
      <c r="B135">
        <v>0</v>
      </c>
      <c r="C135">
        <v>0</v>
      </c>
    </row>
    <row r="136" spans="1:3" x14ac:dyDescent="0.3">
      <c r="A136" s="2">
        <f t="shared" si="2"/>
        <v>6.6999999999999842</v>
      </c>
      <c r="B136">
        <v>0</v>
      </c>
      <c r="C136">
        <v>0</v>
      </c>
    </row>
    <row r="137" spans="1:3" x14ac:dyDescent="0.3">
      <c r="A137" s="2">
        <f t="shared" si="2"/>
        <v>6.749999999999984</v>
      </c>
      <c r="B137">
        <v>0</v>
      </c>
      <c r="C137">
        <v>0</v>
      </c>
    </row>
    <row r="138" spans="1:3" x14ac:dyDescent="0.3">
      <c r="A138" s="2">
        <f t="shared" si="2"/>
        <v>6.7999999999999838</v>
      </c>
      <c r="B138">
        <v>0</v>
      </c>
      <c r="C138">
        <v>0</v>
      </c>
    </row>
    <row r="139" spans="1:3" x14ac:dyDescent="0.3">
      <c r="A139" s="2">
        <f t="shared" si="2"/>
        <v>6.8499999999999837</v>
      </c>
      <c r="B139">
        <v>0</v>
      </c>
      <c r="C139">
        <v>0</v>
      </c>
    </row>
    <row r="140" spans="1:3" x14ac:dyDescent="0.3">
      <c r="A140" s="2">
        <f t="shared" si="2"/>
        <v>6.8999999999999835</v>
      </c>
      <c r="B140">
        <v>0</v>
      </c>
      <c r="C140">
        <v>0</v>
      </c>
    </row>
    <row r="141" spans="1:3" x14ac:dyDescent="0.3">
      <c r="A141" s="2">
        <f t="shared" si="2"/>
        <v>6.9499999999999833</v>
      </c>
      <c r="B141">
        <v>0</v>
      </c>
      <c r="C141">
        <v>0</v>
      </c>
    </row>
    <row r="142" spans="1:3" x14ac:dyDescent="0.3">
      <c r="A142" s="2">
        <f t="shared" si="2"/>
        <v>6.9999999999999831</v>
      </c>
      <c r="B142">
        <v>0</v>
      </c>
      <c r="C142">
        <v>0</v>
      </c>
    </row>
    <row r="143" spans="1:3" x14ac:dyDescent="0.3">
      <c r="A143" s="2">
        <f t="shared" si="2"/>
        <v>7.0499999999999829</v>
      </c>
      <c r="B143">
        <v>0</v>
      </c>
      <c r="C143">
        <v>0</v>
      </c>
    </row>
    <row r="144" spans="1:3" x14ac:dyDescent="0.3">
      <c r="A144" s="2">
        <f t="shared" si="2"/>
        <v>7.0999999999999828</v>
      </c>
      <c r="B144">
        <v>0</v>
      </c>
      <c r="C144">
        <v>0</v>
      </c>
    </row>
    <row r="145" spans="1:3" x14ac:dyDescent="0.3">
      <c r="A145" s="2">
        <f t="shared" si="2"/>
        <v>7.1499999999999826</v>
      </c>
      <c r="B145">
        <v>0</v>
      </c>
      <c r="C145">
        <v>0</v>
      </c>
    </row>
    <row r="146" spans="1:3" x14ac:dyDescent="0.3">
      <c r="A146" s="2">
        <f t="shared" si="2"/>
        <v>7.1999999999999824</v>
      </c>
      <c r="B146">
        <v>0</v>
      </c>
      <c r="C146">
        <v>0</v>
      </c>
    </row>
    <row r="147" spans="1:3" x14ac:dyDescent="0.3">
      <c r="A147" s="2">
        <f t="shared" si="2"/>
        <v>7.2499999999999822</v>
      </c>
      <c r="B147">
        <v>0</v>
      </c>
      <c r="C147">
        <v>0</v>
      </c>
    </row>
    <row r="148" spans="1:3" x14ac:dyDescent="0.3">
      <c r="A148" s="2">
        <f t="shared" si="2"/>
        <v>7.2999999999999821</v>
      </c>
      <c r="B148">
        <v>0</v>
      </c>
      <c r="C148">
        <v>0</v>
      </c>
    </row>
    <row r="149" spans="1:3" x14ac:dyDescent="0.3">
      <c r="A149" s="2">
        <f t="shared" si="2"/>
        <v>7.3499999999999819</v>
      </c>
      <c r="B149">
        <v>0</v>
      </c>
      <c r="C149">
        <v>0</v>
      </c>
    </row>
    <row r="150" spans="1:3" x14ac:dyDescent="0.3">
      <c r="A150" s="2">
        <f t="shared" si="2"/>
        <v>7.3999999999999817</v>
      </c>
      <c r="B150">
        <v>0</v>
      </c>
      <c r="C150">
        <v>0</v>
      </c>
    </row>
    <row r="151" spans="1:3" x14ac:dyDescent="0.3">
      <c r="A151" s="2">
        <f t="shared" si="2"/>
        <v>7.4499999999999815</v>
      </c>
      <c r="B151">
        <v>0</v>
      </c>
      <c r="C151">
        <v>0</v>
      </c>
    </row>
    <row r="152" spans="1:3" x14ac:dyDescent="0.3">
      <c r="A152" s="2">
        <f t="shared" si="2"/>
        <v>7.4999999999999813</v>
      </c>
      <c r="B152">
        <v>0</v>
      </c>
      <c r="C152">
        <v>0</v>
      </c>
    </row>
    <row r="153" spans="1:3" x14ac:dyDescent="0.3">
      <c r="A153" s="2">
        <f t="shared" si="2"/>
        <v>7.5499999999999812</v>
      </c>
      <c r="B153">
        <v>0</v>
      </c>
      <c r="C153">
        <v>0</v>
      </c>
    </row>
    <row r="154" spans="1:3" x14ac:dyDescent="0.3">
      <c r="A154" s="2">
        <f t="shared" si="2"/>
        <v>7.599999999999981</v>
      </c>
      <c r="B154">
        <v>0</v>
      </c>
      <c r="C154">
        <v>0</v>
      </c>
    </row>
    <row r="155" spans="1:3" x14ac:dyDescent="0.3">
      <c r="A155" s="2">
        <f t="shared" si="2"/>
        <v>7.6499999999999808</v>
      </c>
      <c r="B155">
        <v>0</v>
      </c>
      <c r="C155">
        <v>0</v>
      </c>
    </row>
    <row r="156" spans="1:3" x14ac:dyDescent="0.3">
      <c r="A156" s="2">
        <f t="shared" si="2"/>
        <v>7.6999999999999806</v>
      </c>
      <c r="B156">
        <v>0</v>
      </c>
      <c r="C156">
        <v>0</v>
      </c>
    </row>
    <row r="157" spans="1:3" x14ac:dyDescent="0.3">
      <c r="A157" s="2">
        <f t="shared" si="2"/>
        <v>7.7499999999999805</v>
      </c>
      <c r="B157">
        <v>0</v>
      </c>
      <c r="C157">
        <v>0</v>
      </c>
    </row>
    <row r="158" spans="1:3" x14ac:dyDescent="0.3">
      <c r="A158" s="2">
        <f t="shared" si="2"/>
        <v>7.7999999999999803</v>
      </c>
      <c r="B158">
        <v>0</v>
      </c>
      <c r="C158">
        <v>0</v>
      </c>
    </row>
    <row r="159" spans="1:3" x14ac:dyDescent="0.3">
      <c r="A159" s="2">
        <f t="shared" si="2"/>
        <v>7.8499999999999801</v>
      </c>
      <c r="B159">
        <v>0</v>
      </c>
      <c r="C159">
        <v>0</v>
      </c>
    </row>
    <row r="160" spans="1:3" x14ac:dyDescent="0.3">
      <c r="A160" s="2">
        <f t="shared" si="2"/>
        <v>7.8999999999999799</v>
      </c>
      <c r="B160">
        <v>0</v>
      </c>
      <c r="C160">
        <v>0</v>
      </c>
    </row>
    <row r="161" spans="1:3" x14ac:dyDescent="0.3">
      <c r="A161" s="2">
        <f t="shared" si="2"/>
        <v>7.9499999999999797</v>
      </c>
      <c r="B161">
        <v>0</v>
      </c>
      <c r="C161">
        <v>0</v>
      </c>
    </row>
    <row r="162" spans="1:3" x14ac:dyDescent="0.3">
      <c r="A162" s="2">
        <f t="shared" si="2"/>
        <v>7.9999999999999796</v>
      </c>
      <c r="B162">
        <v>0</v>
      </c>
      <c r="C162">
        <v>0</v>
      </c>
    </row>
    <row r="163" spans="1:3" x14ac:dyDescent="0.3">
      <c r="A163" s="2">
        <f t="shared" si="2"/>
        <v>8.0499999999999794</v>
      </c>
      <c r="B163">
        <v>0</v>
      </c>
      <c r="C163">
        <v>0</v>
      </c>
    </row>
    <row r="164" spans="1:3" x14ac:dyDescent="0.3">
      <c r="A164" s="2">
        <f t="shared" si="2"/>
        <v>8.0999999999999801</v>
      </c>
      <c r="B164">
        <v>0</v>
      </c>
      <c r="C164">
        <v>0</v>
      </c>
    </row>
    <row r="165" spans="1:3" x14ac:dyDescent="0.3">
      <c r="A165" s="2">
        <f t="shared" si="2"/>
        <v>8.1499999999999808</v>
      </c>
      <c r="B165">
        <v>0</v>
      </c>
      <c r="C165">
        <v>0</v>
      </c>
    </row>
    <row r="166" spans="1:3" x14ac:dyDescent="0.3">
      <c r="A166" s="2">
        <f t="shared" si="2"/>
        <v>8.1999999999999815</v>
      </c>
      <c r="B166">
        <v>0</v>
      </c>
      <c r="C166">
        <v>0</v>
      </c>
    </row>
    <row r="167" spans="1:3" x14ac:dyDescent="0.3">
      <c r="A167" s="2">
        <f t="shared" si="2"/>
        <v>8.2499999999999822</v>
      </c>
      <c r="B167">
        <v>0</v>
      </c>
      <c r="C167">
        <v>0</v>
      </c>
    </row>
    <row r="168" spans="1:3" x14ac:dyDescent="0.3">
      <c r="A168" s="2">
        <f t="shared" si="2"/>
        <v>8.2999999999999829</v>
      </c>
      <c r="B168">
        <v>0</v>
      </c>
      <c r="C168">
        <v>0</v>
      </c>
    </row>
    <row r="169" spans="1:3" x14ac:dyDescent="0.3">
      <c r="A169" s="2">
        <f t="shared" si="2"/>
        <v>8.3499999999999837</v>
      </c>
      <c r="B169">
        <v>0</v>
      </c>
      <c r="C169">
        <v>0</v>
      </c>
    </row>
    <row r="170" spans="1:3" x14ac:dyDescent="0.3">
      <c r="A170" s="2">
        <f t="shared" si="2"/>
        <v>8.3999999999999844</v>
      </c>
      <c r="B170">
        <v>0</v>
      </c>
      <c r="C170">
        <v>0</v>
      </c>
    </row>
    <row r="171" spans="1:3" x14ac:dyDescent="0.3">
      <c r="A171" s="2">
        <f t="shared" si="2"/>
        <v>8.4499999999999851</v>
      </c>
      <c r="B171">
        <v>0</v>
      </c>
      <c r="C171">
        <v>0</v>
      </c>
    </row>
    <row r="172" spans="1:3" x14ac:dyDescent="0.3">
      <c r="A172" s="2">
        <f t="shared" si="2"/>
        <v>8.4999999999999858</v>
      </c>
      <c r="B172">
        <v>0</v>
      </c>
      <c r="C172">
        <v>0</v>
      </c>
    </row>
    <row r="173" spans="1:3" x14ac:dyDescent="0.3">
      <c r="A173" s="2">
        <f t="shared" si="2"/>
        <v>8.5499999999999865</v>
      </c>
      <c r="B173">
        <v>0</v>
      </c>
      <c r="C173">
        <v>0</v>
      </c>
    </row>
    <row r="174" spans="1:3" x14ac:dyDescent="0.3">
      <c r="A174" s="2">
        <f t="shared" si="2"/>
        <v>8.5999999999999872</v>
      </c>
      <c r="B174">
        <v>0</v>
      </c>
      <c r="C174">
        <v>0</v>
      </c>
    </row>
    <row r="175" spans="1:3" x14ac:dyDescent="0.3">
      <c r="A175" s="2">
        <f t="shared" si="2"/>
        <v>8.6499999999999879</v>
      </c>
      <c r="B175">
        <v>0</v>
      </c>
      <c r="C175">
        <v>0</v>
      </c>
    </row>
    <row r="176" spans="1:3" x14ac:dyDescent="0.3">
      <c r="A176" s="2">
        <f t="shared" si="2"/>
        <v>8.6999999999999886</v>
      </c>
      <c r="B176">
        <v>0</v>
      </c>
      <c r="C176">
        <v>0</v>
      </c>
    </row>
    <row r="177" spans="1:3" x14ac:dyDescent="0.3">
      <c r="A177" s="2">
        <f t="shared" si="2"/>
        <v>8.7499999999999893</v>
      </c>
      <c r="B177">
        <v>0</v>
      </c>
      <c r="C177">
        <v>0</v>
      </c>
    </row>
    <row r="178" spans="1:3" x14ac:dyDescent="0.3">
      <c r="A178" s="2">
        <f t="shared" si="2"/>
        <v>8.7999999999999901</v>
      </c>
      <c r="B178">
        <v>0</v>
      </c>
      <c r="C178">
        <v>0</v>
      </c>
    </row>
    <row r="179" spans="1:3" x14ac:dyDescent="0.3">
      <c r="A179" s="2">
        <f t="shared" si="2"/>
        <v>8.8499999999999908</v>
      </c>
      <c r="B179">
        <v>0</v>
      </c>
      <c r="C179">
        <v>0</v>
      </c>
    </row>
    <row r="180" spans="1:3" x14ac:dyDescent="0.3">
      <c r="A180" s="2">
        <f t="shared" si="2"/>
        <v>8.8999999999999915</v>
      </c>
      <c r="B180">
        <v>0</v>
      </c>
      <c r="C180">
        <v>0</v>
      </c>
    </row>
    <row r="181" spans="1:3" x14ac:dyDescent="0.3">
      <c r="A181" s="2">
        <f t="shared" si="2"/>
        <v>8.9499999999999922</v>
      </c>
      <c r="B181">
        <v>0</v>
      </c>
      <c r="C181">
        <v>0</v>
      </c>
    </row>
    <row r="182" spans="1:3" x14ac:dyDescent="0.3">
      <c r="A182" s="2">
        <f t="shared" si="2"/>
        <v>8.9999999999999929</v>
      </c>
      <c r="B182">
        <v>0</v>
      </c>
      <c r="C182">
        <v>0</v>
      </c>
    </row>
    <row r="183" spans="1:3" x14ac:dyDescent="0.3">
      <c r="A183" s="2">
        <f t="shared" si="2"/>
        <v>9.0499999999999936</v>
      </c>
      <c r="B183">
        <v>0</v>
      </c>
      <c r="C183">
        <v>0</v>
      </c>
    </row>
    <row r="184" spans="1:3" x14ac:dyDescent="0.3">
      <c r="A184" s="2">
        <f t="shared" si="2"/>
        <v>9.0999999999999943</v>
      </c>
      <c r="B184">
        <v>0</v>
      </c>
      <c r="C184">
        <v>0</v>
      </c>
    </row>
    <row r="185" spans="1:3" x14ac:dyDescent="0.3">
      <c r="A185" s="2">
        <f t="shared" si="2"/>
        <v>9.149999999999995</v>
      </c>
      <c r="B185">
        <v>0</v>
      </c>
      <c r="C185">
        <v>0</v>
      </c>
    </row>
    <row r="186" spans="1:3" x14ac:dyDescent="0.3">
      <c r="A186" s="2">
        <f t="shared" si="2"/>
        <v>9.1999999999999957</v>
      </c>
      <c r="B186">
        <v>0</v>
      </c>
      <c r="C186">
        <v>0</v>
      </c>
    </row>
    <row r="187" spans="1:3" x14ac:dyDescent="0.3">
      <c r="A187" s="2">
        <f t="shared" si="2"/>
        <v>9.2499999999999964</v>
      </c>
      <c r="B187">
        <v>0</v>
      </c>
      <c r="C187">
        <v>0</v>
      </c>
    </row>
    <row r="188" spans="1:3" x14ac:dyDescent="0.3">
      <c r="A188" s="2">
        <f t="shared" si="2"/>
        <v>9.2999999999999972</v>
      </c>
      <c r="B188">
        <v>0</v>
      </c>
      <c r="C188">
        <v>0</v>
      </c>
    </row>
    <row r="189" spans="1:3" x14ac:dyDescent="0.3">
      <c r="A189" s="2">
        <f t="shared" si="2"/>
        <v>9.3499999999999979</v>
      </c>
      <c r="B189">
        <v>0</v>
      </c>
      <c r="C189">
        <v>0</v>
      </c>
    </row>
    <row r="190" spans="1:3" x14ac:dyDescent="0.3">
      <c r="A190" s="2">
        <f t="shared" si="2"/>
        <v>9.3999999999999986</v>
      </c>
      <c r="B190">
        <v>0</v>
      </c>
      <c r="C190">
        <v>0</v>
      </c>
    </row>
    <row r="191" spans="1:3" x14ac:dyDescent="0.3">
      <c r="A191" s="2">
        <f t="shared" si="2"/>
        <v>9.4499999999999993</v>
      </c>
      <c r="B191">
        <v>0</v>
      </c>
      <c r="C191">
        <v>0</v>
      </c>
    </row>
    <row r="192" spans="1:3" x14ac:dyDescent="0.3">
      <c r="A192" s="2">
        <f t="shared" si="2"/>
        <v>9.5</v>
      </c>
      <c r="B192">
        <v>0</v>
      </c>
      <c r="C192">
        <v>0</v>
      </c>
    </row>
    <row r="193" spans="1:3" x14ac:dyDescent="0.3">
      <c r="A193" s="2">
        <f t="shared" si="2"/>
        <v>9.5500000000000007</v>
      </c>
      <c r="B193">
        <v>0</v>
      </c>
      <c r="C193">
        <v>0</v>
      </c>
    </row>
    <row r="194" spans="1:3" x14ac:dyDescent="0.3">
      <c r="A194" s="2">
        <f t="shared" si="2"/>
        <v>9.6000000000000014</v>
      </c>
      <c r="B194">
        <v>0</v>
      </c>
      <c r="C194">
        <v>0</v>
      </c>
    </row>
    <row r="195" spans="1:3" x14ac:dyDescent="0.3">
      <c r="A195" s="2">
        <f t="shared" si="2"/>
        <v>9.6500000000000021</v>
      </c>
      <c r="B195">
        <v>0</v>
      </c>
      <c r="C195">
        <v>0</v>
      </c>
    </row>
    <row r="196" spans="1:3" x14ac:dyDescent="0.3">
      <c r="A196" s="2">
        <f t="shared" ref="A196:A259" si="3">A195+0.05</f>
        <v>9.7000000000000028</v>
      </c>
      <c r="B196">
        <v>0</v>
      </c>
      <c r="C196">
        <v>0</v>
      </c>
    </row>
    <row r="197" spans="1:3" x14ac:dyDescent="0.3">
      <c r="A197" s="2">
        <f t="shared" si="3"/>
        <v>9.7500000000000036</v>
      </c>
      <c r="B197">
        <v>0</v>
      </c>
      <c r="C197">
        <v>0</v>
      </c>
    </row>
    <row r="198" spans="1:3" x14ac:dyDescent="0.3">
      <c r="A198" s="2">
        <f t="shared" si="3"/>
        <v>9.8000000000000043</v>
      </c>
      <c r="B198">
        <v>0</v>
      </c>
      <c r="C198">
        <v>0</v>
      </c>
    </row>
    <row r="199" spans="1:3" x14ac:dyDescent="0.3">
      <c r="A199" s="2">
        <f t="shared" si="3"/>
        <v>9.850000000000005</v>
      </c>
      <c r="B199">
        <v>0</v>
      </c>
      <c r="C199">
        <v>0</v>
      </c>
    </row>
    <row r="200" spans="1:3" x14ac:dyDescent="0.3">
      <c r="A200" s="2">
        <f t="shared" si="3"/>
        <v>9.9000000000000057</v>
      </c>
      <c r="B200">
        <v>0</v>
      </c>
      <c r="C200">
        <v>0</v>
      </c>
    </row>
    <row r="201" spans="1:3" x14ac:dyDescent="0.3">
      <c r="A201" s="2">
        <f t="shared" si="3"/>
        <v>9.9500000000000064</v>
      </c>
      <c r="B201">
        <v>0</v>
      </c>
      <c r="C201">
        <v>0</v>
      </c>
    </row>
    <row r="202" spans="1:3" x14ac:dyDescent="0.3">
      <c r="A202" s="2">
        <f t="shared" si="3"/>
        <v>10.000000000000007</v>
      </c>
      <c r="B202">
        <v>0</v>
      </c>
      <c r="C202">
        <v>0</v>
      </c>
    </row>
    <row r="203" spans="1:3" x14ac:dyDescent="0.3">
      <c r="A203" s="2">
        <f t="shared" si="3"/>
        <v>10.050000000000008</v>
      </c>
      <c r="B203">
        <v>0</v>
      </c>
      <c r="C203">
        <v>0</v>
      </c>
    </row>
    <row r="204" spans="1:3" x14ac:dyDescent="0.3">
      <c r="A204" s="2">
        <f t="shared" si="3"/>
        <v>10.100000000000009</v>
      </c>
      <c r="B204">
        <v>0</v>
      </c>
      <c r="C204">
        <v>0</v>
      </c>
    </row>
    <row r="205" spans="1:3" x14ac:dyDescent="0.3">
      <c r="A205" s="2">
        <f t="shared" si="3"/>
        <v>10.150000000000009</v>
      </c>
      <c r="B205">
        <v>0</v>
      </c>
      <c r="C205">
        <v>0</v>
      </c>
    </row>
    <row r="206" spans="1:3" x14ac:dyDescent="0.3">
      <c r="A206" s="2">
        <f t="shared" si="3"/>
        <v>10.20000000000001</v>
      </c>
      <c r="B206">
        <v>0</v>
      </c>
      <c r="C206">
        <v>0</v>
      </c>
    </row>
    <row r="207" spans="1:3" x14ac:dyDescent="0.3">
      <c r="A207" s="2">
        <f t="shared" si="3"/>
        <v>10.250000000000011</v>
      </c>
      <c r="B207">
        <v>0</v>
      </c>
      <c r="C207">
        <v>0</v>
      </c>
    </row>
    <row r="208" spans="1:3" x14ac:dyDescent="0.3">
      <c r="A208" s="2">
        <f t="shared" si="3"/>
        <v>10.300000000000011</v>
      </c>
      <c r="B208">
        <v>0</v>
      </c>
      <c r="C208">
        <v>0</v>
      </c>
    </row>
    <row r="209" spans="1:3" x14ac:dyDescent="0.3">
      <c r="A209" s="2">
        <f t="shared" si="3"/>
        <v>10.350000000000012</v>
      </c>
      <c r="B209">
        <v>0</v>
      </c>
      <c r="C209">
        <v>0</v>
      </c>
    </row>
    <row r="210" spans="1:3" x14ac:dyDescent="0.3">
      <c r="A210" s="2">
        <f t="shared" si="3"/>
        <v>10.400000000000013</v>
      </c>
      <c r="B210">
        <v>0</v>
      </c>
      <c r="C210">
        <v>0</v>
      </c>
    </row>
    <row r="211" spans="1:3" x14ac:dyDescent="0.3">
      <c r="A211" s="2">
        <f t="shared" si="3"/>
        <v>10.450000000000014</v>
      </c>
      <c r="B211">
        <v>0</v>
      </c>
      <c r="C211">
        <v>0</v>
      </c>
    </row>
    <row r="212" spans="1:3" x14ac:dyDescent="0.3">
      <c r="A212" s="2">
        <f t="shared" si="3"/>
        <v>10.500000000000014</v>
      </c>
      <c r="B212">
        <v>0</v>
      </c>
      <c r="C212">
        <v>0</v>
      </c>
    </row>
    <row r="213" spans="1:3" x14ac:dyDescent="0.3">
      <c r="A213" s="2">
        <f t="shared" si="3"/>
        <v>10.550000000000015</v>
      </c>
      <c r="B213">
        <v>0</v>
      </c>
      <c r="C213">
        <v>0</v>
      </c>
    </row>
    <row r="214" spans="1:3" x14ac:dyDescent="0.3">
      <c r="A214" s="2">
        <f t="shared" si="3"/>
        <v>10.600000000000016</v>
      </c>
      <c r="B214">
        <v>0</v>
      </c>
      <c r="C214">
        <v>0</v>
      </c>
    </row>
    <row r="215" spans="1:3" x14ac:dyDescent="0.3">
      <c r="A215" s="2">
        <f t="shared" si="3"/>
        <v>10.650000000000016</v>
      </c>
      <c r="B215">
        <v>0</v>
      </c>
      <c r="C215">
        <v>0</v>
      </c>
    </row>
    <row r="216" spans="1:3" x14ac:dyDescent="0.3">
      <c r="A216" s="2">
        <f t="shared" si="3"/>
        <v>10.700000000000017</v>
      </c>
      <c r="B216">
        <v>0</v>
      </c>
      <c r="C216">
        <v>0</v>
      </c>
    </row>
    <row r="217" spans="1:3" x14ac:dyDescent="0.3">
      <c r="A217" s="2">
        <f t="shared" si="3"/>
        <v>10.750000000000018</v>
      </c>
      <c r="B217">
        <v>0</v>
      </c>
      <c r="C217">
        <v>0</v>
      </c>
    </row>
    <row r="218" spans="1:3" x14ac:dyDescent="0.3">
      <c r="A218" s="2">
        <f t="shared" si="3"/>
        <v>10.800000000000018</v>
      </c>
      <c r="B218">
        <v>0</v>
      </c>
      <c r="C218">
        <v>0</v>
      </c>
    </row>
    <row r="219" spans="1:3" x14ac:dyDescent="0.3">
      <c r="A219" s="2">
        <f t="shared" si="3"/>
        <v>10.850000000000019</v>
      </c>
      <c r="B219">
        <v>0</v>
      </c>
      <c r="C219">
        <v>0</v>
      </c>
    </row>
    <row r="220" spans="1:3" x14ac:dyDescent="0.3">
      <c r="A220" s="2">
        <f t="shared" si="3"/>
        <v>10.90000000000002</v>
      </c>
      <c r="B220">
        <v>0</v>
      </c>
      <c r="C220">
        <v>0</v>
      </c>
    </row>
    <row r="221" spans="1:3" x14ac:dyDescent="0.3">
      <c r="A221" s="2">
        <f t="shared" si="3"/>
        <v>10.950000000000021</v>
      </c>
      <c r="B221">
        <v>0</v>
      </c>
      <c r="C221">
        <v>0</v>
      </c>
    </row>
    <row r="222" spans="1:3" x14ac:dyDescent="0.3">
      <c r="A222" s="2">
        <f t="shared" si="3"/>
        <v>11.000000000000021</v>
      </c>
      <c r="B222">
        <v>0</v>
      </c>
      <c r="C222">
        <v>0</v>
      </c>
    </row>
    <row r="223" spans="1:3" x14ac:dyDescent="0.3">
      <c r="A223" s="2">
        <f t="shared" si="3"/>
        <v>11.050000000000022</v>
      </c>
      <c r="B223">
        <v>0</v>
      </c>
      <c r="C223">
        <v>0</v>
      </c>
    </row>
    <row r="224" spans="1:3" x14ac:dyDescent="0.3">
      <c r="A224" s="2">
        <f t="shared" si="3"/>
        <v>11.100000000000023</v>
      </c>
      <c r="B224">
        <v>0</v>
      </c>
      <c r="C224">
        <v>0</v>
      </c>
    </row>
    <row r="225" spans="1:3" x14ac:dyDescent="0.3">
      <c r="A225" s="2">
        <f t="shared" si="3"/>
        <v>11.150000000000023</v>
      </c>
      <c r="B225">
        <v>0</v>
      </c>
      <c r="C225">
        <v>0</v>
      </c>
    </row>
    <row r="226" spans="1:3" x14ac:dyDescent="0.3">
      <c r="A226" s="2">
        <f t="shared" si="3"/>
        <v>11.200000000000024</v>
      </c>
      <c r="B226">
        <v>0</v>
      </c>
      <c r="C226">
        <v>0</v>
      </c>
    </row>
    <row r="227" spans="1:3" x14ac:dyDescent="0.3">
      <c r="A227" s="2">
        <f t="shared" si="3"/>
        <v>11.250000000000025</v>
      </c>
      <c r="B227">
        <v>0</v>
      </c>
      <c r="C227">
        <v>0</v>
      </c>
    </row>
    <row r="228" spans="1:3" x14ac:dyDescent="0.3">
      <c r="A228" s="2">
        <f t="shared" si="3"/>
        <v>11.300000000000026</v>
      </c>
      <c r="B228">
        <v>0</v>
      </c>
      <c r="C228">
        <v>0</v>
      </c>
    </row>
    <row r="229" spans="1:3" x14ac:dyDescent="0.3">
      <c r="A229" s="2">
        <f t="shared" si="3"/>
        <v>11.350000000000026</v>
      </c>
      <c r="B229">
        <v>0</v>
      </c>
      <c r="C229">
        <v>0</v>
      </c>
    </row>
    <row r="230" spans="1:3" x14ac:dyDescent="0.3">
      <c r="A230" s="2">
        <f t="shared" si="3"/>
        <v>11.400000000000027</v>
      </c>
      <c r="B230">
        <v>0</v>
      </c>
      <c r="C230">
        <v>0</v>
      </c>
    </row>
    <row r="231" spans="1:3" x14ac:dyDescent="0.3">
      <c r="A231" s="2">
        <f t="shared" si="3"/>
        <v>11.450000000000028</v>
      </c>
      <c r="B231">
        <v>0</v>
      </c>
      <c r="C231">
        <v>0</v>
      </c>
    </row>
    <row r="232" spans="1:3" x14ac:dyDescent="0.3">
      <c r="A232" s="2">
        <f t="shared" si="3"/>
        <v>11.500000000000028</v>
      </c>
      <c r="B232">
        <v>0</v>
      </c>
      <c r="C232">
        <v>0</v>
      </c>
    </row>
    <row r="233" spans="1:3" x14ac:dyDescent="0.3">
      <c r="A233" s="2">
        <f t="shared" si="3"/>
        <v>11.550000000000029</v>
      </c>
      <c r="B233">
        <v>0</v>
      </c>
      <c r="C233">
        <v>0</v>
      </c>
    </row>
    <row r="234" spans="1:3" x14ac:dyDescent="0.3">
      <c r="A234" s="2">
        <f t="shared" si="3"/>
        <v>11.60000000000003</v>
      </c>
      <c r="B234">
        <v>0</v>
      </c>
      <c r="C234">
        <v>0</v>
      </c>
    </row>
    <row r="235" spans="1:3" x14ac:dyDescent="0.3">
      <c r="A235" s="2">
        <f t="shared" si="3"/>
        <v>11.650000000000031</v>
      </c>
      <c r="B235">
        <v>0</v>
      </c>
      <c r="C235">
        <v>0</v>
      </c>
    </row>
    <row r="236" spans="1:3" x14ac:dyDescent="0.3">
      <c r="A236" s="2">
        <f t="shared" si="3"/>
        <v>11.700000000000031</v>
      </c>
      <c r="B236">
        <v>0</v>
      </c>
      <c r="C236">
        <v>0</v>
      </c>
    </row>
    <row r="237" spans="1:3" x14ac:dyDescent="0.3">
      <c r="A237" s="2">
        <f t="shared" si="3"/>
        <v>11.750000000000032</v>
      </c>
      <c r="B237">
        <v>0</v>
      </c>
      <c r="C237">
        <v>0</v>
      </c>
    </row>
    <row r="238" spans="1:3" x14ac:dyDescent="0.3">
      <c r="A238" s="2">
        <f t="shared" si="3"/>
        <v>11.800000000000033</v>
      </c>
      <c r="B238">
        <v>0</v>
      </c>
      <c r="C238">
        <v>0</v>
      </c>
    </row>
    <row r="239" spans="1:3" x14ac:dyDescent="0.3">
      <c r="A239" s="2">
        <f t="shared" si="3"/>
        <v>11.850000000000033</v>
      </c>
      <c r="B239">
        <v>0</v>
      </c>
      <c r="C239">
        <v>0</v>
      </c>
    </row>
    <row r="240" spans="1:3" x14ac:dyDescent="0.3">
      <c r="A240" s="2">
        <f t="shared" si="3"/>
        <v>11.900000000000034</v>
      </c>
      <c r="B240">
        <v>0</v>
      </c>
      <c r="C240">
        <v>0</v>
      </c>
    </row>
    <row r="241" spans="1:3" x14ac:dyDescent="0.3">
      <c r="A241" s="2">
        <f t="shared" si="3"/>
        <v>11.950000000000035</v>
      </c>
      <c r="B241">
        <v>0</v>
      </c>
      <c r="C241">
        <v>0</v>
      </c>
    </row>
    <row r="242" spans="1:3" x14ac:dyDescent="0.3">
      <c r="A242" s="2">
        <f t="shared" si="3"/>
        <v>12.000000000000036</v>
      </c>
      <c r="B242">
        <v>0</v>
      </c>
      <c r="C242">
        <v>0</v>
      </c>
    </row>
    <row r="243" spans="1:3" x14ac:dyDescent="0.3">
      <c r="A243" s="2">
        <f t="shared" si="3"/>
        <v>12.050000000000036</v>
      </c>
      <c r="B243">
        <v>0</v>
      </c>
      <c r="C243">
        <v>0</v>
      </c>
    </row>
    <row r="244" spans="1:3" x14ac:dyDescent="0.3">
      <c r="A244" s="2">
        <f t="shared" si="3"/>
        <v>12.100000000000037</v>
      </c>
      <c r="B244">
        <v>0</v>
      </c>
      <c r="C244">
        <v>0</v>
      </c>
    </row>
    <row r="245" spans="1:3" x14ac:dyDescent="0.3">
      <c r="A245" s="2">
        <f t="shared" si="3"/>
        <v>12.150000000000038</v>
      </c>
      <c r="B245">
        <v>0</v>
      </c>
      <c r="C245">
        <v>0</v>
      </c>
    </row>
    <row r="246" spans="1:3" x14ac:dyDescent="0.3">
      <c r="A246" s="2">
        <f t="shared" si="3"/>
        <v>12.200000000000038</v>
      </c>
      <c r="B246">
        <v>0</v>
      </c>
      <c r="C246">
        <v>0</v>
      </c>
    </row>
    <row r="247" spans="1:3" x14ac:dyDescent="0.3">
      <c r="A247" s="2">
        <f t="shared" si="3"/>
        <v>12.250000000000039</v>
      </c>
      <c r="B247">
        <v>0</v>
      </c>
      <c r="C247">
        <v>0</v>
      </c>
    </row>
    <row r="248" spans="1:3" x14ac:dyDescent="0.3">
      <c r="A248" s="2">
        <f t="shared" si="3"/>
        <v>12.30000000000004</v>
      </c>
      <c r="B248">
        <v>0</v>
      </c>
      <c r="C248">
        <v>0</v>
      </c>
    </row>
    <row r="249" spans="1:3" x14ac:dyDescent="0.3">
      <c r="A249" s="2">
        <f t="shared" si="3"/>
        <v>12.350000000000041</v>
      </c>
      <c r="B249">
        <v>0</v>
      </c>
      <c r="C249">
        <v>0</v>
      </c>
    </row>
    <row r="250" spans="1:3" x14ac:dyDescent="0.3">
      <c r="A250" s="2">
        <f t="shared" si="3"/>
        <v>12.400000000000041</v>
      </c>
      <c r="B250">
        <v>0</v>
      </c>
      <c r="C250">
        <v>0</v>
      </c>
    </row>
    <row r="251" spans="1:3" x14ac:dyDescent="0.3">
      <c r="A251" s="2">
        <f t="shared" si="3"/>
        <v>12.450000000000042</v>
      </c>
      <c r="B251">
        <v>0</v>
      </c>
      <c r="C251">
        <v>0</v>
      </c>
    </row>
    <row r="252" spans="1:3" x14ac:dyDescent="0.3">
      <c r="A252" s="2">
        <f t="shared" si="3"/>
        <v>12.500000000000043</v>
      </c>
      <c r="B252">
        <v>0</v>
      </c>
      <c r="C252">
        <v>0</v>
      </c>
    </row>
    <row r="253" spans="1:3" x14ac:dyDescent="0.3">
      <c r="A253" s="2">
        <f t="shared" si="3"/>
        <v>12.550000000000043</v>
      </c>
      <c r="B253">
        <v>0</v>
      </c>
      <c r="C253">
        <v>0</v>
      </c>
    </row>
    <row r="254" spans="1:3" x14ac:dyDescent="0.3">
      <c r="A254" s="2">
        <f t="shared" si="3"/>
        <v>12.600000000000044</v>
      </c>
      <c r="B254">
        <v>0</v>
      </c>
      <c r="C254">
        <v>0</v>
      </c>
    </row>
    <row r="255" spans="1:3" x14ac:dyDescent="0.3">
      <c r="A255" s="2">
        <f t="shared" si="3"/>
        <v>12.650000000000045</v>
      </c>
      <c r="B255">
        <v>0</v>
      </c>
      <c r="C255">
        <v>0</v>
      </c>
    </row>
    <row r="256" spans="1:3" x14ac:dyDescent="0.3">
      <c r="A256" s="2">
        <f t="shared" si="3"/>
        <v>12.700000000000045</v>
      </c>
      <c r="B256">
        <v>0</v>
      </c>
      <c r="C256">
        <v>0</v>
      </c>
    </row>
    <row r="257" spans="1:3" x14ac:dyDescent="0.3">
      <c r="A257" s="2">
        <f t="shared" si="3"/>
        <v>12.750000000000046</v>
      </c>
      <c r="B257">
        <v>0</v>
      </c>
      <c r="C257">
        <v>0</v>
      </c>
    </row>
    <row r="258" spans="1:3" x14ac:dyDescent="0.3">
      <c r="A258" s="2">
        <f t="shared" si="3"/>
        <v>12.800000000000047</v>
      </c>
      <c r="B258">
        <v>0</v>
      </c>
      <c r="C258">
        <v>0</v>
      </c>
    </row>
    <row r="259" spans="1:3" x14ac:dyDescent="0.3">
      <c r="A259" s="2">
        <f t="shared" si="3"/>
        <v>12.850000000000048</v>
      </c>
      <c r="B259">
        <v>0</v>
      </c>
      <c r="C259">
        <v>0</v>
      </c>
    </row>
    <row r="260" spans="1:3" x14ac:dyDescent="0.3">
      <c r="A260" s="2">
        <f t="shared" ref="A260:A323" si="4">A259+0.05</f>
        <v>12.900000000000048</v>
      </c>
      <c r="B260">
        <v>0</v>
      </c>
      <c r="C260">
        <v>0</v>
      </c>
    </row>
    <row r="261" spans="1:3" x14ac:dyDescent="0.3">
      <c r="A261" s="2">
        <f t="shared" si="4"/>
        <v>12.950000000000049</v>
      </c>
      <c r="B261">
        <v>0</v>
      </c>
      <c r="C261">
        <v>0</v>
      </c>
    </row>
    <row r="262" spans="1:3" x14ac:dyDescent="0.3">
      <c r="A262" s="2">
        <f t="shared" si="4"/>
        <v>13.00000000000005</v>
      </c>
      <c r="B262">
        <v>0</v>
      </c>
      <c r="C262">
        <v>0</v>
      </c>
    </row>
    <row r="263" spans="1:3" x14ac:dyDescent="0.3">
      <c r="A263" s="2">
        <f t="shared" si="4"/>
        <v>13.05000000000005</v>
      </c>
      <c r="B263">
        <v>0</v>
      </c>
      <c r="C263">
        <v>0</v>
      </c>
    </row>
    <row r="264" spans="1:3" x14ac:dyDescent="0.3">
      <c r="A264" s="2">
        <f t="shared" si="4"/>
        <v>13.100000000000051</v>
      </c>
      <c r="B264">
        <v>0</v>
      </c>
      <c r="C264">
        <v>0</v>
      </c>
    </row>
    <row r="265" spans="1:3" x14ac:dyDescent="0.3">
      <c r="A265" s="2">
        <f t="shared" si="4"/>
        <v>13.150000000000052</v>
      </c>
      <c r="B265">
        <v>0</v>
      </c>
      <c r="C265">
        <v>0</v>
      </c>
    </row>
    <row r="266" spans="1:3" x14ac:dyDescent="0.3">
      <c r="A266" s="2">
        <f t="shared" si="4"/>
        <v>13.200000000000053</v>
      </c>
      <c r="B266">
        <v>0</v>
      </c>
      <c r="C266">
        <v>0</v>
      </c>
    </row>
    <row r="267" spans="1:3" x14ac:dyDescent="0.3">
      <c r="A267" s="2">
        <f t="shared" si="4"/>
        <v>13.250000000000053</v>
      </c>
      <c r="B267">
        <v>0</v>
      </c>
      <c r="C267">
        <v>0</v>
      </c>
    </row>
    <row r="268" spans="1:3" x14ac:dyDescent="0.3">
      <c r="A268" s="2">
        <f t="shared" si="4"/>
        <v>13.300000000000054</v>
      </c>
      <c r="B268">
        <v>0</v>
      </c>
      <c r="C268">
        <v>0</v>
      </c>
    </row>
    <row r="269" spans="1:3" x14ac:dyDescent="0.3">
      <c r="A269" s="2">
        <f t="shared" si="4"/>
        <v>13.350000000000055</v>
      </c>
      <c r="B269">
        <v>0</v>
      </c>
      <c r="C269">
        <v>0</v>
      </c>
    </row>
    <row r="270" spans="1:3" x14ac:dyDescent="0.3">
      <c r="A270" s="2">
        <f t="shared" si="4"/>
        <v>13.400000000000055</v>
      </c>
      <c r="B270">
        <v>0</v>
      </c>
      <c r="C270">
        <v>0</v>
      </c>
    </row>
    <row r="271" spans="1:3" x14ac:dyDescent="0.3">
      <c r="A271" s="2">
        <f t="shared" si="4"/>
        <v>13.450000000000056</v>
      </c>
      <c r="B271">
        <v>0</v>
      </c>
      <c r="C271">
        <v>0</v>
      </c>
    </row>
    <row r="272" spans="1:3" x14ac:dyDescent="0.3">
      <c r="A272" s="2">
        <f t="shared" si="4"/>
        <v>13.500000000000057</v>
      </c>
      <c r="B272">
        <v>0</v>
      </c>
      <c r="C272">
        <v>0</v>
      </c>
    </row>
    <row r="273" spans="1:3" x14ac:dyDescent="0.3">
      <c r="A273" s="2">
        <f t="shared" si="4"/>
        <v>13.550000000000058</v>
      </c>
      <c r="B273">
        <v>0</v>
      </c>
      <c r="C273">
        <v>0</v>
      </c>
    </row>
    <row r="274" spans="1:3" x14ac:dyDescent="0.3">
      <c r="A274" s="2">
        <f t="shared" si="4"/>
        <v>13.600000000000058</v>
      </c>
      <c r="B274">
        <v>0</v>
      </c>
      <c r="C274">
        <v>0</v>
      </c>
    </row>
    <row r="275" spans="1:3" x14ac:dyDescent="0.3">
      <c r="A275" s="2">
        <f t="shared" si="4"/>
        <v>13.650000000000059</v>
      </c>
      <c r="B275">
        <v>0</v>
      </c>
      <c r="C275">
        <v>0</v>
      </c>
    </row>
    <row r="276" spans="1:3" x14ac:dyDescent="0.3">
      <c r="A276" s="2">
        <f t="shared" si="4"/>
        <v>13.70000000000006</v>
      </c>
      <c r="B276">
        <v>0</v>
      </c>
      <c r="C276">
        <v>0</v>
      </c>
    </row>
    <row r="277" spans="1:3" x14ac:dyDescent="0.3">
      <c r="A277" s="2">
        <f t="shared" si="4"/>
        <v>13.75000000000006</v>
      </c>
      <c r="B277">
        <v>0</v>
      </c>
      <c r="C277">
        <v>0</v>
      </c>
    </row>
    <row r="278" spans="1:3" x14ac:dyDescent="0.3">
      <c r="A278" s="2">
        <f t="shared" si="4"/>
        <v>13.800000000000061</v>
      </c>
      <c r="B278">
        <v>0</v>
      </c>
      <c r="C278">
        <v>0</v>
      </c>
    </row>
    <row r="279" spans="1:3" x14ac:dyDescent="0.3">
      <c r="A279" s="2">
        <f t="shared" si="4"/>
        <v>13.850000000000062</v>
      </c>
      <c r="B279">
        <v>0</v>
      </c>
      <c r="C279">
        <v>0</v>
      </c>
    </row>
    <row r="280" spans="1:3" x14ac:dyDescent="0.3">
      <c r="A280" s="2">
        <f t="shared" si="4"/>
        <v>13.900000000000063</v>
      </c>
      <c r="B280">
        <v>0</v>
      </c>
      <c r="C280">
        <v>0</v>
      </c>
    </row>
    <row r="281" spans="1:3" x14ac:dyDescent="0.3">
      <c r="A281" s="2">
        <f t="shared" si="4"/>
        <v>13.950000000000063</v>
      </c>
      <c r="B281">
        <v>0</v>
      </c>
      <c r="C281">
        <v>0</v>
      </c>
    </row>
    <row r="282" spans="1:3" x14ac:dyDescent="0.3">
      <c r="A282" s="2">
        <f t="shared" si="4"/>
        <v>14.000000000000064</v>
      </c>
      <c r="B282">
        <v>0</v>
      </c>
      <c r="C282">
        <v>0</v>
      </c>
    </row>
    <row r="283" spans="1:3" x14ac:dyDescent="0.3">
      <c r="A283" s="2">
        <f t="shared" si="4"/>
        <v>14.050000000000065</v>
      </c>
      <c r="B283">
        <v>0</v>
      </c>
      <c r="C283">
        <v>0</v>
      </c>
    </row>
    <row r="284" spans="1:3" x14ac:dyDescent="0.3">
      <c r="A284" s="2">
        <f t="shared" si="4"/>
        <v>14.100000000000065</v>
      </c>
      <c r="B284">
        <v>0</v>
      </c>
      <c r="C284">
        <v>0</v>
      </c>
    </row>
    <row r="285" spans="1:3" x14ac:dyDescent="0.3">
      <c r="A285" s="2">
        <f t="shared" si="4"/>
        <v>14.150000000000066</v>
      </c>
      <c r="B285">
        <v>0</v>
      </c>
      <c r="C285">
        <v>0</v>
      </c>
    </row>
    <row r="286" spans="1:3" x14ac:dyDescent="0.3">
      <c r="A286" s="2">
        <f t="shared" si="4"/>
        <v>14.200000000000067</v>
      </c>
      <c r="B286">
        <v>0</v>
      </c>
      <c r="C286">
        <v>0</v>
      </c>
    </row>
    <row r="287" spans="1:3" x14ac:dyDescent="0.3">
      <c r="A287" s="2">
        <f t="shared" si="4"/>
        <v>14.250000000000068</v>
      </c>
      <c r="B287">
        <v>0</v>
      </c>
      <c r="C287">
        <v>0</v>
      </c>
    </row>
    <row r="288" spans="1:3" x14ac:dyDescent="0.3">
      <c r="A288" s="2">
        <f t="shared" si="4"/>
        <v>14.300000000000068</v>
      </c>
      <c r="B288">
        <v>0</v>
      </c>
      <c r="C288">
        <v>0</v>
      </c>
    </row>
    <row r="289" spans="1:3" x14ac:dyDescent="0.3">
      <c r="A289" s="2">
        <f t="shared" si="4"/>
        <v>14.350000000000069</v>
      </c>
      <c r="B289">
        <v>0</v>
      </c>
      <c r="C289">
        <v>0</v>
      </c>
    </row>
    <row r="290" spans="1:3" x14ac:dyDescent="0.3">
      <c r="A290" s="2">
        <f t="shared" si="4"/>
        <v>14.40000000000007</v>
      </c>
      <c r="B290">
        <v>0</v>
      </c>
      <c r="C290">
        <v>0</v>
      </c>
    </row>
    <row r="291" spans="1:3" x14ac:dyDescent="0.3">
      <c r="A291" s="2">
        <f t="shared" si="4"/>
        <v>14.45000000000007</v>
      </c>
      <c r="B291">
        <v>0</v>
      </c>
      <c r="C291">
        <v>0</v>
      </c>
    </row>
    <row r="292" spans="1:3" x14ac:dyDescent="0.3">
      <c r="A292" s="2">
        <f t="shared" si="4"/>
        <v>14.500000000000071</v>
      </c>
      <c r="B292">
        <v>0</v>
      </c>
      <c r="C292">
        <v>0</v>
      </c>
    </row>
    <row r="293" spans="1:3" x14ac:dyDescent="0.3">
      <c r="A293" s="2">
        <f t="shared" si="4"/>
        <v>14.550000000000072</v>
      </c>
      <c r="B293">
        <v>0</v>
      </c>
      <c r="C293">
        <v>0</v>
      </c>
    </row>
    <row r="294" spans="1:3" x14ac:dyDescent="0.3">
      <c r="A294" s="2">
        <f t="shared" si="4"/>
        <v>14.600000000000072</v>
      </c>
      <c r="B294">
        <v>0</v>
      </c>
      <c r="C294">
        <v>0</v>
      </c>
    </row>
    <row r="295" spans="1:3" x14ac:dyDescent="0.3">
      <c r="A295" s="2">
        <f t="shared" si="4"/>
        <v>14.650000000000073</v>
      </c>
      <c r="B295">
        <v>0</v>
      </c>
      <c r="C295">
        <v>0</v>
      </c>
    </row>
    <row r="296" spans="1:3" x14ac:dyDescent="0.3">
      <c r="A296" s="2">
        <f t="shared" si="4"/>
        <v>14.700000000000074</v>
      </c>
      <c r="B296">
        <v>0</v>
      </c>
      <c r="C296">
        <v>0</v>
      </c>
    </row>
    <row r="297" spans="1:3" x14ac:dyDescent="0.3">
      <c r="A297" s="2">
        <f t="shared" si="4"/>
        <v>14.750000000000075</v>
      </c>
      <c r="B297">
        <v>0</v>
      </c>
      <c r="C297">
        <v>0</v>
      </c>
    </row>
    <row r="298" spans="1:3" x14ac:dyDescent="0.3">
      <c r="A298" s="2">
        <f t="shared" si="4"/>
        <v>14.800000000000075</v>
      </c>
      <c r="B298">
        <v>0</v>
      </c>
      <c r="C298">
        <v>0</v>
      </c>
    </row>
    <row r="299" spans="1:3" x14ac:dyDescent="0.3">
      <c r="A299" s="2">
        <f t="shared" si="4"/>
        <v>14.850000000000076</v>
      </c>
      <c r="B299">
        <v>0</v>
      </c>
      <c r="C299">
        <v>0</v>
      </c>
    </row>
    <row r="300" spans="1:3" x14ac:dyDescent="0.3">
      <c r="A300" s="2">
        <f t="shared" si="4"/>
        <v>14.900000000000077</v>
      </c>
      <c r="B300">
        <v>0</v>
      </c>
      <c r="C300">
        <v>0</v>
      </c>
    </row>
    <row r="301" spans="1:3" x14ac:dyDescent="0.3">
      <c r="A301" s="2">
        <f t="shared" si="4"/>
        <v>14.950000000000077</v>
      </c>
      <c r="B301">
        <v>0</v>
      </c>
      <c r="C301">
        <v>0</v>
      </c>
    </row>
    <row r="302" spans="1:3" x14ac:dyDescent="0.3">
      <c r="A302" s="2">
        <f t="shared" si="4"/>
        <v>15.000000000000078</v>
      </c>
      <c r="B302">
        <v>0</v>
      </c>
      <c r="C302">
        <v>0</v>
      </c>
    </row>
    <row r="303" spans="1:3" x14ac:dyDescent="0.3">
      <c r="A303" s="2">
        <f t="shared" si="4"/>
        <v>15.050000000000079</v>
      </c>
      <c r="B303">
        <v>0</v>
      </c>
      <c r="C303">
        <v>0</v>
      </c>
    </row>
    <row r="304" spans="1:3" x14ac:dyDescent="0.3">
      <c r="A304" s="2">
        <f t="shared" si="4"/>
        <v>15.10000000000008</v>
      </c>
      <c r="B304">
        <v>0</v>
      </c>
      <c r="C304">
        <v>0</v>
      </c>
    </row>
    <row r="305" spans="1:3" x14ac:dyDescent="0.3">
      <c r="A305" s="2">
        <f t="shared" si="4"/>
        <v>15.15000000000008</v>
      </c>
      <c r="B305">
        <v>0</v>
      </c>
      <c r="C305">
        <v>0</v>
      </c>
    </row>
    <row r="306" spans="1:3" x14ac:dyDescent="0.3">
      <c r="A306" s="2">
        <f t="shared" si="4"/>
        <v>15.200000000000081</v>
      </c>
      <c r="B306">
        <v>0</v>
      </c>
      <c r="C306">
        <v>0</v>
      </c>
    </row>
    <row r="307" spans="1:3" x14ac:dyDescent="0.3">
      <c r="A307" s="2">
        <f t="shared" si="4"/>
        <v>15.250000000000082</v>
      </c>
      <c r="B307">
        <v>0</v>
      </c>
      <c r="C307">
        <v>0</v>
      </c>
    </row>
    <row r="308" spans="1:3" x14ac:dyDescent="0.3">
      <c r="A308" s="2">
        <f t="shared" si="4"/>
        <v>15.300000000000082</v>
      </c>
      <c r="B308">
        <v>0</v>
      </c>
      <c r="C308">
        <v>0</v>
      </c>
    </row>
    <row r="309" spans="1:3" x14ac:dyDescent="0.3">
      <c r="A309" s="2">
        <f t="shared" si="4"/>
        <v>15.350000000000083</v>
      </c>
      <c r="B309">
        <v>0</v>
      </c>
      <c r="C309">
        <v>0</v>
      </c>
    </row>
    <row r="310" spans="1:3" x14ac:dyDescent="0.3">
      <c r="A310" s="2">
        <f t="shared" si="4"/>
        <v>15.400000000000084</v>
      </c>
      <c r="B310">
        <v>0</v>
      </c>
      <c r="C310">
        <v>0</v>
      </c>
    </row>
    <row r="311" spans="1:3" x14ac:dyDescent="0.3">
      <c r="A311" s="2">
        <f t="shared" si="4"/>
        <v>15.450000000000085</v>
      </c>
      <c r="B311">
        <v>0</v>
      </c>
      <c r="C311">
        <v>0</v>
      </c>
    </row>
    <row r="312" spans="1:3" x14ac:dyDescent="0.3">
      <c r="A312" s="2">
        <f t="shared" si="4"/>
        <v>15.500000000000085</v>
      </c>
      <c r="B312">
        <v>0</v>
      </c>
      <c r="C312">
        <v>0</v>
      </c>
    </row>
    <row r="313" spans="1:3" x14ac:dyDescent="0.3">
      <c r="A313" s="2">
        <f t="shared" si="4"/>
        <v>15.550000000000086</v>
      </c>
      <c r="B313">
        <v>0</v>
      </c>
      <c r="C313">
        <v>0</v>
      </c>
    </row>
    <row r="314" spans="1:3" x14ac:dyDescent="0.3">
      <c r="A314" s="2">
        <f t="shared" si="4"/>
        <v>15.600000000000087</v>
      </c>
      <c r="B314">
        <v>0</v>
      </c>
      <c r="C314">
        <v>0</v>
      </c>
    </row>
    <row r="315" spans="1:3" x14ac:dyDescent="0.3">
      <c r="A315" s="2">
        <f t="shared" si="4"/>
        <v>15.650000000000087</v>
      </c>
      <c r="B315">
        <v>0</v>
      </c>
      <c r="C315">
        <v>0</v>
      </c>
    </row>
    <row r="316" spans="1:3" x14ac:dyDescent="0.3">
      <c r="A316" s="2">
        <f t="shared" si="4"/>
        <v>15.700000000000088</v>
      </c>
      <c r="B316">
        <v>0</v>
      </c>
      <c r="C316">
        <v>0</v>
      </c>
    </row>
    <row r="317" spans="1:3" x14ac:dyDescent="0.3">
      <c r="A317" s="2">
        <f t="shared" si="4"/>
        <v>15.750000000000089</v>
      </c>
      <c r="B317">
        <v>0</v>
      </c>
      <c r="C317">
        <v>0</v>
      </c>
    </row>
    <row r="318" spans="1:3" x14ac:dyDescent="0.3">
      <c r="A318" s="2">
        <f t="shared" si="4"/>
        <v>15.80000000000009</v>
      </c>
      <c r="B318">
        <v>0</v>
      </c>
      <c r="C318">
        <v>0</v>
      </c>
    </row>
    <row r="319" spans="1:3" x14ac:dyDescent="0.3">
      <c r="A319" s="2">
        <f t="shared" si="4"/>
        <v>15.85000000000009</v>
      </c>
      <c r="B319">
        <v>0</v>
      </c>
      <c r="C319">
        <v>0</v>
      </c>
    </row>
    <row r="320" spans="1:3" x14ac:dyDescent="0.3">
      <c r="A320" s="2">
        <f t="shared" si="4"/>
        <v>15.900000000000091</v>
      </c>
      <c r="B320">
        <v>0</v>
      </c>
      <c r="C320">
        <v>0</v>
      </c>
    </row>
    <row r="321" spans="1:3" x14ac:dyDescent="0.3">
      <c r="A321" s="2">
        <f t="shared" si="4"/>
        <v>15.950000000000092</v>
      </c>
      <c r="B321">
        <v>0</v>
      </c>
      <c r="C321">
        <v>0</v>
      </c>
    </row>
    <row r="322" spans="1:3" x14ac:dyDescent="0.3">
      <c r="A322" s="2">
        <f t="shared" si="4"/>
        <v>16.000000000000092</v>
      </c>
      <c r="B322">
        <v>0</v>
      </c>
      <c r="C322">
        <v>0</v>
      </c>
    </row>
    <row r="323" spans="1:3" x14ac:dyDescent="0.3">
      <c r="A323" s="2">
        <f t="shared" si="4"/>
        <v>16.050000000000093</v>
      </c>
      <c r="B323">
        <v>0</v>
      </c>
      <c r="C323">
        <v>0</v>
      </c>
    </row>
    <row r="324" spans="1:3" x14ac:dyDescent="0.3">
      <c r="A324" s="2">
        <f t="shared" ref="A324:A387" si="5">A323+0.05</f>
        <v>16.100000000000094</v>
      </c>
      <c r="B324">
        <v>0</v>
      </c>
      <c r="C324">
        <v>0</v>
      </c>
    </row>
    <row r="325" spans="1:3" x14ac:dyDescent="0.3">
      <c r="A325" s="2">
        <f t="shared" si="5"/>
        <v>16.150000000000095</v>
      </c>
      <c r="B325">
        <v>0</v>
      </c>
      <c r="C325">
        <v>0</v>
      </c>
    </row>
    <row r="326" spans="1:3" x14ac:dyDescent="0.3">
      <c r="A326" s="2">
        <f t="shared" si="5"/>
        <v>16.200000000000095</v>
      </c>
      <c r="B326">
        <v>0</v>
      </c>
      <c r="C326">
        <v>0</v>
      </c>
    </row>
    <row r="327" spans="1:3" x14ac:dyDescent="0.3">
      <c r="A327" s="2">
        <f t="shared" si="5"/>
        <v>16.250000000000096</v>
      </c>
      <c r="B327">
        <v>0</v>
      </c>
      <c r="C327">
        <v>0</v>
      </c>
    </row>
    <row r="328" spans="1:3" x14ac:dyDescent="0.3">
      <c r="A328" s="2">
        <f t="shared" si="5"/>
        <v>16.300000000000097</v>
      </c>
      <c r="B328">
        <v>0</v>
      </c>
      <c r="C328">
        <v>0</v>
      </c>
    </row>
    <row r="329" spans="1:3" x14ac:dyDescent="0.3">
      <c r="A329" s="2">
        <f t="shared" si="5"/>
        <v>16.350000000000097</v>
      </c>
      <c r="B329">
        <v>0</v>
      </c>
      <c r="C329">
        <v>0</v>
      </c>
    </row>
    <row r="330" spans="1:3" x14ac:dyDescent="0.3">
      <c r="A330" s="2">
        <f t="shared" si="5"/>
        <v>16.400000000000098</v>
      </c>
      <c r="B330">
        <v>0</v>
      </c>
      <c r="C330">
        <v>0</v>
      </c>
    </row>
    <row r="331" spans="1:3" x14ac:dyDescent="0.3">
      <c r="A331" s="2">
        <f t="shared" si="5"/>
        <v>16.450000000000099</v>
      </c>
      <c r="B331">
        <v>0</v>
      </c>
      <c r="C331">
        <v>0</v>
      </c>
    </row>
    <row r="332" spans="1:3" x14ac:dyDescent="0.3">
      <c r="A332" s="2">
        <f t="shared" si="5"/>
        <v>16.500000000000099</v>
      </c>
      <c r="B332">
        <v>0</v>
      </c>
      <c r="C332">
        <v>0</v>
      </c>
    </row>
    <row r="333" spans="1:3" x14ac:dyDescent="0.3">
      <c r="A333" s="2">
        <f t="shared" si="5"/>
        <v>16.5500000000001</v>
      </c>
      <c r="B333">
        <v>0</v>
      </c>
      <c r="C333">
        <v>0</v>
      </c>
    </row>
    <row r="334" spans="1:3" x14ac:dyDescent="0.3">
      <c r="A334" s="2">
        <f t="shared" si="5"/>
        <v>16.600000000000101</v>
      </c>
      <c r="B334">
        <v>0</v>
      </c>
      <c r="C334">
        <v>0</v>
      </c>
    </row>
    <row r="335" spans="1:3" x14ac:dyDescent="0.3">
      <c r="A335" s="2">
        <f t="shared" si="5"/>
        <v>16.650000000000102</v>
      </c>
      <c r="B335">
        <v>0</v>
      </c>
      <c r="C335">
        <v>0</v>
      </c>
    </row>
    <row r="336" spans="1:3" x14ac:dyDescent="0.3">
      <c r="A336" s="2">
        <f t="shared" si="5"/>
        <v>16.700000000000102</v>
      </c>
      <c r="B336">
        <v>0</v>
      </c>
      <c r="C336">
        <v>0</v>
      </c>
    </row>
    <row r="337" spans="1:3" x14ac:dyDescent="0.3">
      <c r="A337" s="2">
        <f t="shared" si="5"/>
        <v>16.750000000000103</v>
      </c>
      <c r="B337">
        <v>0</v>
      </c>
      <c r="C337">
        <v>0</v>
      </c>
    </row>
    <row r="338" spans="1:3" x14ac:dyDescent="0.3">
      <c r="A338" s="2">
        <f t="shared" si="5"/>
        <v>16.800000000000104</v>
      </c>
      <c r="B338">
        <v>0</v>
      </c>
      <c r="C338">
        <v>0</v>
      </c>
    </row>
    <row r="339" spans="1:3" x14ac:dyDescent="0.3">
      <c r="A339" s="2">
        <f t="shared" si="5"/>
        <v>16.850000000000104</v>
      </c>
      <c r="B339">
        <v>0</v>
      </c>
      <c r="C339">
        <v>0</v>
      </c>
    </row>
    <row r="340" spans="1:3" x14ac:dyDescent="0.3">
      <c r="A340" s="2">
        <f t="shared" si="5"/>
        <v>16.900000000000105</v>
      </c>
      <c r="B340">
        <v>0</v>
      </c>
      <c r="C340">
        <v>0</v>
      </c>
    </row>
    <row r="341" spans="1:3" x14ac:dyDescent="0.3">
      <c r="A341" s="2">
        <f t="shared" si="5"/>
        <v>16.950000000000106</v>
      </c>
      <c r="B341">
        <v>0</v>
      </c>
      <c r="C341">
        <v>0</v>
      </c>
    </row>
    <row r="342" spans="1:3" x14ac:dyDescent="0.3">
      <c r="A342" s="2">
        <f t="shared" si="5"/>
        <v>17.000000000000107</v>
      </c>
      <c r="B342">
        <v>0</v>
      </c>
      <c r="C342">
        <v>0</v>
      </c>
    </row>
    <row r="343" spans="1:3" x14ac:dyDescent="0.3">
      <c r="A343" s="2">
        <f t="shared" si="5"/>
        <v>17.050000000000107</v>
      </c>
      <c r="B343">
        <v>0</v>
      </c>
      <c r="C343">
        <v>0</v>
      </c>
    </row>
    <row r="344" spans="1:3" x14ac:dyDescent="0.3">
      <c r="A344" s="2">
        <f t="shared" si="5"/>
        <v>17.100000000000108</v>
      </c>
      <c r="B344">
        <v>0</v>
      </c>
      <c r="C344">
        <v>0</v>
      </c>
    </row>
    <row r="345" spans="1:3" x14ac:dyDescent="0.3">
      <c r="A345" s="2">
        <f t="shared" si="5"/>
        <v>17.150000000000109</v>
      </c>
      <c r="B345">
        <v>0</v>
      </c>
      <c r="C345">
        <v>0</v>
      </c>
    </row>
    <row r="346" spans="1:3" x14ac:dyDescent="0.3">
      <c r="A346" s="2">
        <f t="shared" si="5"/>
        <v>17.200000000000109</v>
      </c>
      <c r="B346">
        <v>0</v>
      </c>
      <c r="C346">
        <v>0</v>
      </c>
    </row>
    <row r="347" spans="1:3" x14ac:dyDescent="0.3">
      <c r="A347" s="2">
        <f t="shared" si="5"/>
        <v>17.25000000000011</v>
      </c>
      <c r="B347">
        <v>0</v>
      </c>
      <c r="C347">
        <v>0</v>
      </c>
    </row>
    <row r="348" spans="1:3" x14ac:dyDescent="0.3">
      <c r="A348" s="2">
        <f t="shared" si="5"/>
        <v>17.300000000000111</v>
      </c>
      <c r="B348">
        <v>0</v>
      </c>
      <c r="C348">
        <v>0</v>
      </c>
    </row>
    <row r="349" spans="1:3" x14ac:dyDescent="0.3">
      <c r="A349" s="2">
        <f t="shared" si="5"/>
        <v>17.350000000000112</v>
      </c>
      <c r="B349">
        <v>0</v>
      </c>
      <c r="C349">
        <v>0</v>
      </c>
    </row>
    <row r="350" spans="1:3" x14ac:dyDescent="0.3">
      <c r="A350" s="2">
        <f t="shared" si="5"/>
        <v>17.400000000000112</v>
      </c>
      <c r="B350">
        <v>0</v>
      </c>
      <c r="C350">
        <v>0</v>
      </c>
    </row>
    <row r="351" spans="1:3" x14ac:dyDescent="0.3">
      <c r="A351" s="2">
        <f t="shared" si="5"/>
        <v>17.450000000000113</v>
      </c>
      <c r="B351">
        <v>0</v>
      </c>
      <c r="C351">
        <v>0</v>
      </c>
    </row>
    <row r="352" spans="1:3" x14ac:dyDescent="0.3">
      <c r="A352" s="2">
        <f t="shared" si="5"/>
        <v>17.500000000000114</v>
      </c>
      <c r="B352">
        <v>0</v>
      </c>
      <c r="C352">
        <v>0</v>
      </c>
    </row>
    <row r="353" spans="1:3" x14ac:dyDescent="0.3">
      <c r="A353" s="2">
        <f t="shared" si="5"/>
        <v>17.550000000000114</v>
      </c>
      <c r="B353">
        <v>0</v>
      </c>
      <c r="C353">
        <v>0</v>
      </c>
    </row>
    <row r="354" spans="1:3" x14ac:dyDescent="0.3">
      <c r="A354" s="2">
        <f t="shared" si="5"/>
        <v>17.600000000000115</v>
      </c>
      <c r="B354">
        <v>0</v>
      </c>
      <c r="C354">
        <v>0</v>
      </c>
    </row>
    <row r="355" spans="1:3" x14ac:dyDescent="0.3">
      <c r="A355" s="2">
        <f t="shared" si="5"/>
        <v>17.650000000000116</v>
      </c>
      <c r="B355">
        <v>0</v>
      </c>
      <c r="C355">
        <v>0</v>
      </c>
    </row>
    <row r="356" spans="1:3" x14ac:dyDescent="0.3">
      <c r="A356" s="2">
        <f t="shared" si="5"/>
        <v>17.700000000000117</v>
      </c>
      <c r="B356">
        <v>0</v>
      </c>
      <c r="C356">
        <v>0</v>
      </c>
    </row>
    <row r="357" spans="1:3" x14ac:dyDescent="0.3">
      <c r="A357" s="2">
        <f t="shared" si="5"/>
        <v>17.750000000000117</v>
      </c>
      <c r="B357">
        <v>0</v>
      </c>
      <c r="C357">
        <v>0</v>
      </c>
    </row>
    <row r="358" spans="1:3" x14ac:dyDescent="0.3">
      <c r="A358" s="2">
        <f t="shared" si="5"/>
        <v>17.800000000000118</v>
      </c>
      <c r="B358">
        <v>0</v>
      </c>
      <c r="C358">
        <v>0</v>
      </c>
    </row>
    <row r="359" spans="1:3" x14ac:dyDescent="0.3">
      <c r="A359" s="2">
        <f t="shared" si="5"/>
        <v>17.850000000000119</v>
      </c>
      <c r="B359">
        <v>0</v>
      </c>
      <c r="C359">
        <v>0</v>
      </c>
    </row>
    <row r="360" spans="1:3" x14ac:dyDescent="0.3">
      <c r="A360" s="2">
        <f t="shared" si="5"/>
        <v>17.900000000000119</v>
      </c>
      <c r="B360">
        <v>0</v>
      </c>
      <c r="C360">
        <v>0</v>
      </c>
    </row>
    <row r="361" spans="1:3" x14ac:dyDescent="0.3">
      <c r="A361" s="2">
        <f t="shared" si="5"/>
        <v>17.95000000000012</v>
      </c>
      <c r="B361">
        <v>0</v>
      </c>
      <c r="C361">
        <v>0</v>
      </c>
    </row>
    <row r="362" spans="1:3" x14ac:dyDescent="0.3">
      <c r="A362" s="2">
        <f t="shared" si="5"/>
        <v>18.000000000000121</v>
      </c>
      <c r="B362">
        <v>0</v>
      </c>
      <c r="C362">
        <v>0</v>
      </c>
    </row>
    <row r="363" spans="1:3" x14ac:dyDescent="0.3">
      <c r="A363" s="2">
        <f t="shared" si="5"/>
        <v>18.050000000000122</v>
      </c>
      <c r="B363">
        <v>0</v>
      </c>
      <c r="C363">
        <v>0</v>
      </c>
    </row>
    <row r="364" spans="1:3" x14ac:dyDescent="0.3">
      <c r="A364" s="2">
        <f t="shared" si="5"/>
        <v>18.100000000000122</v>
      </c>
      <c r="B364">
        <v>0</v>
      </c>
      <c r="C364">
        <v>0</v>
      </c>
    </row>
    <row r="365" spans="1:3" x14ac:dyDescent="0.3">
      <c r="A365" s="2">
        <f t="shared" si="5"/>
        <v>18.150000000000123</v>
      </c>
      <c r="B365">
        <v>0</v>
      </c>
      <c r="C365">
        <v>0</v>
      </c>
    </row>
    <row r="366" spans="1:3" x14ac:dyDescent="0.3">
      <c r="A366" s="2">
        <f t="shared" si="5"/>
        <v>18.200000000000124</v>
      </c>
      <c r="B366">
        <v>0</v>
      </c>
      <c r="C366">
        <v>0</v>
      </c>
    </row>
    <row r="367" spans="1:3" x14ac:dyDescent="0.3">
      <c r="A367" s="2">
        <f t="shared" si="5"/>
        <v>18.250000000000124</v>
      </c>
      <c r="B367">
        <v>0</v>
      </c>
      <c r="C367">
        <v>0</v>
      </c>
    </row>
    <row r="368" spans="1:3" x14ac:dyDescent="0.3">
      <c r="A368" s="2">
        <f t="shared" si="5"/>
        <v>18.300000000000125</v>
      </c>
      <c r="B368">
        <v>0</v>
      </c>
      <c r="C368">
        <v>0</v>
      </c>
    </row>
    <row r="369" spans="1:3" x14ac:dyDescent="0.3">
      <c r="A369" s="2">
        <f t="shared" si="5"/>
        <v>18.350000000000126</v>
      </c>
      <c r="B369">
        <v>0</v>
      </c>
      <c r="C369">
        <v>0</v>
      </c>
    </row>
    <row r="370" spans="1:3" x14ac:dyDescent="0.3">
      <c r="A370" s="2">
        <f t="shared" si="5"/>
        <v>18.400000000000126</v>
      </c>
      <c r="B370">
        <v>0</v>
      </c>
      <c r="C370">
        <v>0</v>
      </c>
    </row>
    <row r="371" spans="1:3" x14ac:dyDescent="0.3">
      <c r="A371" s="2">
        <f t="shared" si="5"/>
        <v>18.450000000000127</v>
      </c>
      <c r="B371">
        <v>0</v>
      </c>
      <c r="C371">
        <v>0</v>
      </c>
    </row>
    <row r="372" spans="1:3" x14ac:dyDescent="0.3">
      <c r="A372" s="2">
        <f t="shared" si="5"/>
        <v>18.500000000000128</v>
      </c>
      <c r="B372">
        <v>0</v>
      </c>
      <c r="C372">
        <v>0</v>
      </c>
    </row>
    <row r="373" spans="1:3" x14ac:dyDescent="0.3">
      <c r="A373" s="2">
        <f t="shared" si="5"/>
        <v>18.550000000000129</v>
      </c>
      <c r="B373">
        <v>0</v>
      </c>
      <c r="C373">
        <v>0</v>
      </c>
    </row>
    <row r="374" spans="1:3" x14ac:dyDescent="0.3">
      <c r="A374" s="2">
        <f t="shared" si="5"/>
        <v>18.600000000000129</v>
      </c>
      <c r="B374">
        <v>0</v>
      </c>
      <c r="C374">
        <v>0</v>
      </c>
    </row>
    <row r="375" spans="1:3" x14ac:dyDescent="0.3">
      <c r="A375" s="2">
        <f t="shared" si="5"/>
        <v>18.65000000000013</v>
      </c>
      <c r="B375">
        <v>0</v>
      </c>
      <c r="C375">
        <v>0</v>
      </c>
    </row>
    <row r="376" spans="1:3" x14ac:dyDescent="0.3">
      <c r="A376" s="2">
        <f t="shared" si="5"/>
        <v>18.700000000000131</v>
      </c>
      <c r="B376">
        <v>0</v>
      </c>
      <c r="C376">
        <v>0</v>
      </c>
    </row>
    <row r="377" spans="1:3" x14ac:dyDescent="0.3">
      <c r="A377" s="2">
        <f t="shared" si="5"/>
        <v>18.750000000000131</v>
      </c>
      <c r="B377">
        <v>0</v>
      </c>
      <c r="C377">
        <v>0</v>
      </c>
    </row>
    <row r="378" spans="1:3" x14ac:dyDescent="0.3">
      <c r="A378" s="2">
        <f t="shared" si="5"/>
        <v>18.800000000000132</v>
      </c>
      <c r="B378">
        <v>0</v>
      </c>
      <c r="C378">
        <v>0</v>
      </c>
    </row>
    <row r="379" spans="1:3" x14ac:dyDescent="0.3">
      <c r="A379" s="2">
        <f t="shared" si="5"/>
        <v>18.850000000000133</v>
      </c>
      <c r="B379">
        <v>0</v>
      </c>
      <c r="C379">
        <v>0</v>
      </c>
    </row>
    <row r="380" spans="1:3" x14ac:dyDescent="0.3">
      <c r="A380" s="2">
        <f t="shared" si="5"/>
        <v>18.900000000000134</v>
      </c>
      <c r="B380">
        <v>0</v>
      </c>
      <c r="C380">
        <v>0</v>
      </c>
    </row>
    <row r="381" spans="1:3" x14ac:dyDescent="0.3">
      <c r="A381" s="2">
        <f t="shared" si="5"/>
        <v>18.950000000000134</v>
      </c>
      <c r="B381">
        <v>0</v>
      </c>
      <c r="C381">
        <v>0</v>
      </c>
    </row>
    <row r="382" spans="1:3" x14ac:dyDescent="0.3">
      <c r="A382" s="2">
        <f t="shared" si="5"/>
        <v>19.000000000000135</v>
      </c>
      <c r="B382">
        <v>0</v>
      </c>
      <c r="C382">
        <v>0</v>
      </c>
    </row>
    <row r="383" spans="1:3" x14ac:dyDescent="0.3">
      <c r="A383" s="2">
        <f t="shared" si="5"/>
        <v>19.050000000000136</v>
      </c>
      <c r="B383">
        <v>0</v>
      </c>
      <c r="C383">
        <v>0</v>
      </c>
    </row>
    <row r="384" spans="1:3" x14ac:dyDescent="0.3">
      <c r="A384" s="2">
        <f t="shared" si="5"/>
        <v>19.100000000000136</v>
      </c>
      <c r="B384">
        <v>0</v>
      </c>
      <c r="C384">
        <v>0</v>
      </c>
    </row>
    <row r="385" spans="1:3" x14ac:dyDescent="0.3">
      <c r="A385" s="2">
        <f t="shared" si="5"/>
        <v>19.150000000000137</v>
      </c>
      <c r="B385">
        <v>0</v>
      </c>
      <c r="C385">
        <v>0</v>
      </c>
    </row>
    <row r="386" spans="1:3" x14ac:dyDescent="0.3">
      <c r="A386" s="2">
        <f t="shared" si="5"/>
        <v>19.200000000000138</v>
      </c>
      <c r="B386">
        <v>0</v>
      </c>
      <c r="C386">
        <v>0</v>
      </c>
    </row>
    <row r="387" spans="1:3" x14ac:dyDescent="0.3">
      <c r="A387" s="2">
        <f t="shared" si="5"/>
        <v>19.250000000000139</v>
      </c>
      <c r="B387">
        <v>0</v>
      </c>
      <c r="C387">
        <v>0</v>
      </c>
    </row>
    <row r="388" spans="1:3" x14ac:dyDescent="0.3">
      <c r="A388" s="2">
        <f t="shared" ref="A388:A402" si="6">A387+0.05</f>
        <v>19.300000000000139</v>
      </c>
      <c r="B388">
        <v>0</v>
      </c>
      <c r="C388">
        <v>0</v>
      </c>
    </row>
    <row r="389" spans="1:3" x14ac:dyDescent="0.3">
      <c r="A389" s="2">
        <f t="shared" si="6"/>
        <v>19.35000000000014</v>
      </c>
      <c r="B389">
        <v>0</v>
      </c>
      <c r="C389">
        <v>0</v>
      </c>
    </row>
    <row r="390" spans="1:3" x14ac:dyDescent="0.3">
      <c r="A390" s="2">
        <f t="shared" si="6"/>
        <v>19.400000000000141</v>
      </c>
      <c r="B390">
        <v>0</v>
      </c>
      <c r="C390">
        <v>0</v>
      </c>
    </row>
    <row r="391" spans="1:3" x14ac:dyDescent="0.3">
      <c r="A391" s="2">
        <f t="shared" si="6"/>
        <v>19.450000000000141</v>
      </c>
      <c r="B391">
        <v>0</v>
      </c>
      <c r="C391">
        <v>0</v>
      </c>
    </row>
    <row r="392" spans="1:3" x14ac:dyDescent="0.3">
      <c r="A392" s="2">
        <f t="shared" si="6"/>
        <v>19.500000000000142</v>
      </c>
      <c r="B392">
        <v>0</v>
      </c>
      <c r="C392">
        <v>0</v>
      </c>
    </row>
    <row r="393" spans="1:3" x14ac:dyDescent="0.3">
      <c r="A393" s="2">
        <f t="shared" si="6"/>
        <v>19.550000000000143</v>
      </c>
      <c r="B393">
        <v>0</v>
      </c>
      <c r="C393">
        <v>0</v>
      </c>
    </row>
    <row r="394" spans="1:3" x14ac:dyDescent="0.3">
      <c r="A394" s="2">
        <f t="shared" si="6"/>
        <v>19.600000000000144</v>
      </c>
      <c r="B394">
        <v>0</v>
      </c>
      <c r="C394">
        <v>0</v>
      </c>
    </row>
    <row r="395" spans="1:3" x14ac:dyDescent="0.3">
      <c r="A395" s="2">
        <f t="shared" si="6"/>
        <v>19.650000000000144</v>
      </c>
      <c r="B395">
        <v>0</v>
      </c>
      <c r="C395">
        <v>0</v>
      </c>
    </row>
    <row r="396" spans="1:3" x14ac:dyDescent="0.3">
      <c r="A396" s="2">
        <f t="shared" si="6"/>
        <v>19.700000000000145</v>
      </c>
      <c r="B396">
        <v>0</v>
      </c>
      <c r="C396">
        <v>0</v>
      </c>
    </row>
    <row r="397" spans="1:3" x14ac:dyDescent="0.3">
      <c r="A397" s="2">
        <f t="shared" si="6"/>
        <v>19.750000000000146</v>
      </c>
      <c r="B397">
        <v>0</v>
      </c>
      <c r="C397">
        <v>0</v>
      </c>
    </row>
    <row r="398" spans="1:3" x14ac:dyDescent="0.3">
      <c r="A398" s="2">
        <f t="shared" si="6"/>
        <v>19.800000000000146</v>
      </c>
      <c r="B398">
        <v>0</v>
      </c>
      <c r="C398">
        <v>0</v>
      </c>
    </row>
    <row r="399" spans="1:3" x14ac:dyDescent="0.3">
      <c r="A399" s="2">
        <f t="shared" si="6"/>
        <v>19.850000000000147</v>
      </c>
      <c r="B399">
        <v>0</v>
      </c>
      <c r="C399">
        <v>0</v>
      </c>
    </row>
    <row r="400" spans="1:3" x14ac:dyDescent="0.3">
      <c r="A400" s="2">
        <f t="shared" si="6"/>
        <v>19.900000000000148</v>
      </c>
      <c r="B400">
        <v>0</v>
      </c>
      <c r="C400">
        <v>0</v>
      </c>
    </row>
    <row r="401" spans="1:3" x14ac:dyDescent="0.3">
      <c r="A401" s="2">
        <f t="shared" si="6"/>
        <v>19.950000000000149</v>
      </c>
      <c r="B401">
        <v>0</v>
      </c>
      <c r="C401">
        <v>0</v>
      </c>
    </row>
    <row r="402" spans="1:3" x14ac:dyDescent="0.3">
      <c r="A402" s="2">
        <f t="shared" si="6"/>
        <v>20.000000000000149</v>
      </c>
      <c r="B402">
        <v>0</v>
      </c>
      <c r="C402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3662A-8AE8-4D0F-8A2D-ABAAB170CCA2}">
  <dimension ref="A1:AC402"/>
  <sheetViews>
    <sheetView zoomScale="83" workbookViewId="0">
      <selection activeCell="U27" sqref="U27"/>
    </sheetView>
  </sheetViews>
  <sheetFormatPr defaultRowHeight="14.4" x14ac:dyDescent="0.3"/>
  <cols>
    <col min="1" max="1" width="18.21875" customWidth="1"/>
    <col min="2" max="2" width="9" bestFit="1" customWidth="1"/>
    <col min="6" max="6" width="16.109375" customWidth="1"/>
    <col min="7" max="7" width="6.77734375" customWidth="1"/>
    <col min="8" max="8" width="6.5546875" customWidth="1"/>
    <col min="9" max="9" width="6.33203125" customWidth="1"/>
    <col min="10" max="10" width="6.21875" customWidth="1"/>
    <col min="11" max="11" width="6.88671875" customWidth="1"/>
    <col min="12" max="12" width="6.6640625" customWidth="1"/>
    <col min="13" max="13" width="6.21875" customWidth="1"/>
    <col min="14" max="14" width="6.5546875" customWidth="1"/>
    <col min="15" max="16" width="6.44140625" customWidth="1"/>
    <col min="17" max="17" width="6.109375" customWidth="1"/>
    <col min="18" max="19" width="6.21875" customWidth="1"/>
    <col min="20" max="20" width="6.77734375" customWidth="1"/>
    <col min="21" max="21" width="11.33203125" customWidth="1"/>
    <col min="22" max="22" width="11" customWidth="1"/>
    <col min="23" max="23" width="13.44140625" customWidth="1"/>
    <col min="24" max="24" width="9.33203125" customWidth="1"/>
    <col min="25" max="25" width="6.77734375" customWidth="1"/>
    <col min="26" max="26" width="5.88671875" customWidth="1"/>
    <col min="27" max="27" width="6.88671875" customWidth="1"/>
    <col min="28" max="28" width="6.21875" customWidth="1"/>
  </cols>
  <sheetData>
    <row r="1" spans="1:29" x14ac:dyDescent="0.3">
      <c r="A1" s="11" t="s">
        <v>10</v>
      </c>
      <c r="B1" s="2" t="s">
        <v>8</v>
      </c>
      <c r="C1" s="2" t="s">
        <v>7</v>
      </c>
      <c r="E1" s="5" t="s">
        <v>0</v>
      </c>
      <c r="F1" s="20" t="s">
        <v>24</v>
      </c>
      <c r="AC1" s="13" t="s">
        <v>21</v>
      </c>
    </row>
    <row r="2" spans="1:29" x14ac:dyDescent="0.3">
      <c r="A2" t="s">
        <v>9</v>
      </c>
      <c r="B2" s="2">
        <v>0</v>
      </c>
      <c r="C2" s="2">
        <v>0</v>
      </c>
      <c r="E2" s="1"/>
      <c r="F2" s="8">
        <f>COUNTA(AD1:IA1)</f>
        <v>0</v>
      </c>
      <c r="G2" s="4">
        <v>2</v>
      </c>
      <c r="H2" s="4" t="s">
        <v>2</v>
      </c>
      <c r="I2" s="4">
        <v>3</v>
      </c>
      <c r="J2" s="4" t="s">
        <v>2</v>
      </c>
      <c r="K2" s="4">
        <v>4</v>
      </c>
      <c r="L2" s="4" t="s">
        <v>2</v>
      </c>
      <c r="M2" s="4">
        <v>5</v>
      </c>
      <c r="N2" s="4" t="s">
        <v>2</v>
      </c>
      <c r="O2" s="4">
        <v>6</v>
      </c>
      <c r="P2" s="4" t="s">
        <v>2</v>
      </c>
      <c r="Q2" s="4">
        <v>7</v>
      </c>
      <c r="R2" s="4" t="s">
        <v>2</v>
      </c>
      <c r="S2" s="4">
        <v>8</v>
      </c>
      <c r="T2" s="4" t="s">
        <v>2</v>
      </c>
      <c r="U2" s="4">
        <v>9</v>
      </c>
      <c r="V2" s="4" t="s">
        <v>2</v>
      </c>
      <c r="W2" s="4">
        <v>10</v>
      </c>
      <c r="X2" s="4" t="s">
        <v>2</v>
      </c>
      <c r="Y2" s="4">
        <v>11</v>
      </c>
      <c r="Z2" s="7" t="s">
        <v>2</v>
      </c>
      <c r="AA2" s="4">
        <v>12</v>
      </c>
    </row>
    <row r="3" spans="1:29" x14ac:dyDescent="0.3">
      <c r="A3" s="10" t="s">
        <v>12</v>
      </c>
      <c r="B3" s="2">
        <f>B2+0.1</f>
        <v>0.1</v>
      </c>
      <c r="C3" s="2">
        <v>0</v>
      </c>
      <c r="E3" s="1"/>
      <c r="F3" s="3" t="s">
        <v>15</v>
      </c>
      <c r="G3" s="21">
        <f ca="1">IFERROR(SUM(
  TESTSYNCH(1,1),
  TESTSYNCH(5,1),
  TESTSYNCH(9,1),
  TESTSYNCH(13,1),
  TESTSYNCH(17,1),
  TESTSYNCH(21,1),
  TESTSYNCH(25,1),
  TESTSYNCH(29,1),
  TESTSYNCH(33,1),
  TESTSYNCH(37,1),
  TESTSYNCH(41,1),
  TESTSYNCH(45,1),
  TESTSYNCH(49,1),
  TESTSYNCH(53,1),
  TESTSYNCH(57,1),
  TESTSYNCH(61,1),
  TESTSYNCH(65,1),
  TESTSYNCH(69,1),
  TESTSYNCH(73,1),
  TESTSYNCH(77,1),
  TESTSYNCH(81,1),
  TESTSYNCH(85,1),
  TESTSYNCH(89,1),
  TESTSYNCH(93,1),
  TESTSYNCH(97,1),
  TESTSYNCH(101,1),
  TESTSYNCH(105,1),
  TESTSYNCH(109,1),
  TESTSYNCH(113,1)
) / F2,0)</f>
        <v>0</v>
      </c>
      <c r="H3" s="21"/>
      <c r="I3" s="21">
        <f ca="1">IFERROR(SUM(
  TESTSYNCH(1,1.5),
  TESTSYNCH(5,1.5),
  TESTSYNCH(9,1.5),
  TESTSYNCH(13,1.5),
  TESTSYNCH(17,1.5),
  TESTSYNCH(21,1.5),
  TESTSYNCH(25,1.5),
  TESTSYNCH(29,1.5),
  TESTSYNCH(33,1.5),
  TESTSYNCH(37,1.5),
  TESTSYNCH(41,1.5),
  TESTSYNCH(45,1.5),
  TESTSYNCH(49,1.5),
  TESTSYNCH(53,1.5),
  TESTSYNCH(57,1.5),
  TESTSYNCH(61,1.5),
  TESTSYNCH(65,1.5),
  TESTSYNCH(69,1.5),
  TESTSYNCH(73,1.5),
  TESTSYNCH(77,1.5),
  TESTSYNCH(81,1.5),
  TESTSYNCH(85,1.5),
  TESTSYNCH(89,1.5),
  TESTSYNCH(93,1.5),
  TESTSYNCH(97,1.5),
  TESTSYNCH(101,1.5),
  TESTSYNCH(105,1.5),
  TESTSYNCH(109,1.5),
  TESTSYNCH(113,1.5)
) / F2, 0)</f>
        <v>0</v>
      </c>
      <c r="J3" s="21"/>
      <c r="K3" s="21">
        <f ca="1">IFERROR(SUM(
  TESTSYNCH(1,2),
  TESTSYNCH(5,2),
  TESTSYNCH(9,2),
  TESTSYNCH(13,2),
  TESTSYNCH(17,2),
  TESTSYNCH(21,2),
  TESTSYNCH(25,2),
  TESTSYNCH(29,2),
  TESTSYNCH(33,2),
  TESTSYNCH(37,2),
  TESTSYNCH(41,2),
  TESTSYNCH(45,2),
  TESTSYNCH(49,2),
  TESTSYNCH(53,2),
  TESTSYNCH(57,2),
  TESTSYNCH(61,2),
  TESTSYNCH(65,2),
  TESTSYNCH(69,2),
  TESTSYNCH(73,2),
  TESTSYNCH(77,2),
  TESTSYNCH(81,2),
  TESTSYNCH(85,2),
  TESTSYNCH(89,2),
  TESTSYNCH(93,2),
  TESTSYNCH(97,2),
  TESTSYNCH(101,2),
  TESTSYNCH(105,2),
  TESTSYNCH(109,2),
  TESTSYNCH(113,2)
) / F2, 0)</f>
        <v>0</v>
      </c>
      <c r="L3" s="21"/>
      <c r="M3" s="21">
        <f ca="1">IFERROR(SUM(
  TESTSYNCH(1,2.5),
  TESTSYNCH(5,2.5),
  TESTSYNCH(9,2.5),
  TESTSYNCH(13,2.5),
  TESTSYNCH(17,2.5),
  TESTSYNCH(21,2.5),
  TESTSYNCH(25,2.5),
  TESTSYNCH(29,2.5),
  TESTSYNCH(33,2.5),
  TESTSYNCH(37,2.5),
  TESTSYNCH(41,2.5),
  TESTSYNCH(45,2.5),
  TESTSYNCH(49,2.5),
  TESTSYNCH(53,2.5),
  TESTSYNCH(57,2.5),
  TESTSYNCH(61,2.5),
  TESTSYNCH(65,2.5),
  TESTSYNCH(69,2.5),
  TESTSYNCH(73,2.5),
  TESTSYNCH(77,2.5),
  TESTSYNCH(81,2.5),
  TESTSYNCH(85,2.5),
  TESTSYNCH(89,2.5),
  TESTSYNCH(93,2.5),
  TESTSYNCH(97,2.5),
  TESTSYNCH(101,2.5),
  TESTSYNCH(105,2.5),
  TESTSYNCH(109,2.5),
  TESTSYNCH(113,2.5)
) / F2, 0)</f>
        <v>0</v>
      </c>
      <c r="N3" s="21"/>
      <c r="O3" s="21">
        <f ca="1">IFERROR(SUM(
  TESTSYNCH(1,3),
  TESTSYNCH(5,3),
  TESTSYNCH(9,3),
  TESTSYNCH(13,3),
  TESTSYNCH(17,3),
  TESTSYNCH(21,3),
  TESTSYNCH(25,3),
  TESTSYNCH(29,3),
  TESTSYNCH(33,3),
  TESTSYNCH(37,3),
  TESTSYNCH(41,3),
  TESTSYNCH(45,3),
  TESTSYNCH(49,3),
  TESTSYNCH(53,3),
  TESTSYNCH(57,3),
  TESTSYNCH(61,3),
  TESTSYNCH(65,3),
  TESTSYNCH(69,3),
  TESTSYNCH(73,3),
  TESTSYNCH(77,3),
  TESTSYNCH(81,3),
  TESTSYNCH(85,3),
  TESTSYNCH(89,3),
  TESTSYNCH(93,3),
  TESTSYNCH(97,3),
  TESTSYNCH(101,3),
  TESTSYNCH(105,3),
  TESTSYNCH(109,3),
  TESTSYNCH(113,3)
) / F2, 0)</f>
        <v>0</v>
      </c>
      <c r="P3" s="21"/>
      <c r="Q3" s="21">
        <f ca="1">IFERROR(SUM(
  TESTSYNCH(1,3.5),
  TESTSYNCH(5,3.5),
  TESTSYNCH(9,3.5),
  TESTSYNCH(13,3.5),
  TESTSYNCH(17,3.5),
  TESTSYNCH(21,3.5),
  TESTSYNCH(25,3.5),
  TESTSYNCH(29,3.5),
  TESTSYNCH(33,3.5),
  TESTSYNCH(37,3.5),
  TESTSYNCH(41,3.5),
  TESTSYNCH(45,3.5),
  TESTSYNCH(49,3.5),
  TESTSYNCH(53,3.5),
  TESTSYNCH(57,3.5),
  TESTSYNCH(61,3.5),
  TESTSYNCH(65,3.5),
  TESTSYNCH(69,3.5),
  TESTSYNCH(73,3.5),
  TESTSYNCH(77,3.5),
  TESTSYNCH(81,3.5),
  TESTSYNCH(85,3.5),
  TESTSYNCH(89,3.5),
  TESTSYNCH(93,3.5),
  TESTSYNCH(97,3.5),
  TESTSYNCH(101,3.5),
  TESTSYNCH(105,3.5),
  TESTSYNCH(109,3.5),
  TESTSYNCH(113,3.5)
) / F2, 0)</f>
        <v>0</v>
      </c>
      <c r="R3" s="21"/>
      <c r="S3" s="21">
        <f ca="1">IFERROR(SUM(
  TESTSYNCH(1,4),
  TESTSYNCH(5,4),
  TESTSYNCH(9,4),
  TESTSYNCH(13,4),
  TESTSYNCH(17,4),
  TESTSYNCH(21,4),
  TESTSYNCH(25,4),
  TESTSYNCH(29,4),
  TESTSYNCH(33,4),
  TESTSYNCH(37,4),
  TESTSYNCH(41,4),
  TESTSYNCH(45,4),
  TESTSYNCH(49,4),
  TESTSYNCH(53,4),
  TESTSYNCH(57,4),
  TESTSYNCH(61,4),
  TESTSYNCH(65,4),
  TESTSYNCH(69,4),
  TESTSYNCH(73,4),
  TESTSYNCH(77,4),
  TESTSYNCH(81,4),
  TESTSYNCH(85,4),
  TESTSYNCH(89,4),
  TESTSYNCH(93,4),
  TESTSYNCH(97,4),
  TESTSYNCH(101,4),
  TESTSYNCH(105,4),
  TESTSYNCH(109,4),
  TESTSYNCH(113,4)
) / F2, 0)</f>
        <v>0</v>
      </c>
      <c r="T3" s="21"/>
      <c r="U3" s="21">
        <f ca="1">IFERROR(SUM(
  TESTSYNCH(1,4.5),
  TESTSYNCH(5,4.5),
  TESTSYNCH(9,4.5),
  TESTSYNCH(13,4.5),
  TESTSYNCH(17,4.5),
  TESTSYNCH(21,4.5),
  TESTSYNCH(25,4.5),
  TESTSYNCH(29,4.5),
  TESTSYNCH(33,4.5),
  TESTSYNCH(37,4.5),
  TESTSYNCH(41,4.5),
  TESTSYNCH(45,4.5),
  TESTSYNCH(49,4.5),
  TESTSYNCH(53,4.5),
  TESTSYNCH(57,4.5),
  TESTSYNCH(61,4.5),
  TESTSYNCH(65,4.5),
  TESTSYNCH(69,4.5),
  TESTSYNCH(73,4.5),
  TESTSYNCH(77,4.5),
  TESTSYNCH(81,4.5),
  TESTSYNCH(85,4.5),
  TESTSYNCH(89,4.5),
  TESTSYNCH(93,4.5),
  TESTSYNCH(97,4.5),
  TESTSYNCH(101,4.5),
  TESTSYNCH(105,4.5),
  TESTSYNCH(109,4.5),
  TESTSYNCH(113,4.5)
) / F2, 0)</f>
        <v>0</v>
      </c>
      <c r="V3" s="21"/>
      <c r="W3" s="21">
        <f ca="1">IFERROR(SUM(
  TESTSYNCH(1,5),
  TESTSYNCH(5,5),
  TESTSYNCH(9,5),
  TESTSYNCH(13,5),
  TESTSYNCH(17,5),
  TESTSYNCH(21,5),
  TESTSYNCH(25,5),
  TESTSYNCH(29,5),
  TESTSYNCH(33,5),
  TESTSYNCH(37,5),
  TESTSYNCH(41,5),
  TESTSYNCH(45,5),
  TESTSYNCH(49,5),
  TESTSYNCH(53,5),
  TESTSYNCH(57,5),
  TESTSYNCH(61,5),
  TESTSYNCH(65,5),
  TESTSYNCH(69,5),
  TESTSYNCH(73,5),
  TESTSYNCH(77,5),
  TESTSYNCH(81,5),
  TESTSYNCH(85,5),
  TESTSYNCH(89,5),
  TESTSYNCH(93,5),
  TESTSYNCH(97,5),
  TESTSYNCH(101,5),
  TESTSYNCH(105,5),
  TESTSYNCH(109,5),
  TESTSYNCH(113,5)
) / F2, 0)</f>
        <v>0</v>
      </c>
      <c r="X3" s="21"/>
      <c r="Y3" s="21">
        <f ca="1">IFERROR(SUM(
  TESTSYNCH(1,5.5),
  TESTSYNCH(5,5.5),
  TESTSYNCH(9,5.5),
  TESTSYNCH(13,5.5),
  TESTSYNCH(17,5.5),
  TESTSYNCH(21,5.5),
  TESTSYNCH(25,5.5),
  TESTSYNCH(29,5.5),
  TESTSYNCH(33,5.5),
  TESTSYNCH(37,5.5),
  TESTSYNCH(41,5.5),
  TESTSYNCH(45,5.5),
  TESTSYNCH(49,5.5),
  TESTSYNCH(53,5.5),
  TESTSYNCH(57,5.5),
  TESTSYNCH(61,5.5),
  TESTSYNCH(65,5.5),
  TESTSYNCH(69,5.5),
  TESTSYNCH(73,5.5),
  TESTSYNCH(77,5.5),
  TESTSYNCH(81,5.5),
  TESTSYNCH(85,5.5),
  TESTSYNCH(89,5.5),
  TESTSYNCH(93,5.5),
  TESTSYNCH(97,5.5),
  TESTSYNCH(101,5.5),
  TESTSYNCH(105,5.5),
  TESTSYNCH(109,5.5),
  TESTSYNCH(113,5.5)
) / F2, 0)</f>
        <v>0</v>
      </c>
      <c r="Z3" s="21"/>
      <c r="AA3" s="21"/>
    </row>
    <row r="4" spans="1:29" x14ac:dyDescent="0.3">
      <c r="A4" s="10" t="s">
        <v>13</v>
      </c>
      <c r="B4" s="2">
        <f t="shared" ref="B4:B67" si="0">B3+0.1</f>
        <v>0.2</v>
      </c>
      <c r="C4" s="2">
        <v>0</v>
      </c>
      <c r="E4" s="1"/>
      <c r="F4" s="3" t="s">
        <v>1</v>
      </c>
      <c r="G4" s="21"/>
      <c r="H4" s="21">
        <f ca="1">IFERROR(SUM(
  TESTASYNCH(1,1.25),
  TESTASYNCH(5,1.25),
  TESTASYNCH(9,1.25),
  TESTASYNCH(13,1.25),
  TESTASYNCH(17,1.25),
  TESTASYNCH(21,1.25),
  TESTASYNCH(25,1.25),
  TESTASYNCH(29,1.25),
  TESTASYNCH(33,1.25),
  TESTASYNCH(37,1.25),
  TESTASYNCH(41,1.25),
  TESTASYNCH(45,1.25),
  TESTASYNCH(49,1.25),
  TESTASYNCH(53,1.25),
  TESTASYNCH(57,1.25),
  TESTASYNCH(61,1.25),
  TESTASYNCH(65,1.25),
  TESTASYNCH(69,1.25),
  TESTASYNCH(73,1.25),
  TESTASYNCH(77,1.25),
  TESTASYNCH(81,1.25),
  TESTASYNCH(85,1.25),
  TESTASYNCH(89,1.25),
  TESTASYNCH(93,1.25),
  TESTASYNCH(97,1.25),
  TESTASYNCH(101,1.25),
  TESTASYNCH(105,1.25),
  TESTASYNCH(109,1.25),
  TESTASYNCH(113,1.25)
) / F2, 0)</f>
        <v>0</v>
      </c>
      <c r="I4" s="21"/>
      <c r="J4" s="21">
        <f ca="1">IFERROR(SUM(
  TESTASYNCH(1,1.75),
  TESTASYNCH(5,1.75),
  TESTASYNCH(9,1.75),
  TESTASYNCH(13,1.75),
  TESTASYNCH(17,1.75),
  TESTASYNCH(21,1.75),
  TESTASYNCH(25,1.75),
  TESTASYNCH(29,1.75),
  TESTASYNCH(33,1.75),
  TESTASYNCH(37,1.75),
  TESTASYNCH(41,1.75),
  TESTASYNCH(45,1.75),
  TESTASYNCH(49,1.75),
  TESTASYNCH(53,1.75),
  TESTASYNCH(57,1.75),
  TESTASYNCH(61,1.75),
  TESTASYNCH(65,1.75),
  TESTASYNCH(69,1.75),
  TESTASYNCH(73,1.75),
  TESTASYNCH(77,1.75),
  TESTASYNCH(81,1.75),
  TESTASYNCH(85,1.75),
  TESTASYNCH(89,1.75),
  TESTASYNCH(93,1.75),
  TESTASYNCH(97,1.75),
  TESTASYNCH(101,1.75),
  TESTASYNCH(105,1.75),
  TESTASYNCH(109,1.75),
  TESTASYNCH(113,1.75)
) / F2, 0)</f>
        <v>0</v>
      </c>
      <c r="K4" s="21"/>
      <c r="L4" s="21">
        <f ca="1">IFERROR(SUM(
  TESTASYNCH(1,2.25),
  TESTASYNCH(5,2.25),
  TESTASYNCH(9,2.25),
  TESTASYNCH(13,2.25),
  TESTASYNCH(17,2.25),
  TESTASYNCH(21,2.25),
  TESTASYNCH(25,2.25),
  TESTASYNCH(29,2.25),
  TESTASYNCH(33,2.25),
  TESTASYNCH(37,2.25),
  TESTASYNCH(41,2.25),
  TESTASYNCH(45,2.25),
  TESTASYNCH(49,2.25),
  TESTASYNCH(53,2.25),
  TESTASYNCH(57,2.25),
  TESTASYNCH(61,2.25),
  TESTASYNCH(65,2.25),
  TESTASYNCH(69,2.25),
  TESTASYNCH(73,2.25),
  TESTASYNCH(77,2.25),
  TESTASYNCH(81,2.25),
  TESTASYNCH(85,2.25),
  TESTASYNCH(89,2.25),
  TESTASYNCH(93,2.25),
  TESTASYNCH(97,2.25),
  TESTASYNCH(101,2.25),
  TESTASYNCH(105,2.25),
  TESTASYNCH(109,2.25),
  TESTASYNCH(113,2.25)
) / F2, 0)</f>
        <v>0</v>
      </c>
      <c r="M4" s="21"/>
      <c r="N4" s="21">
        <f ca="1">IFERROR(SUM(
  TESTASYNCH(1,2.75),
  TESTASYNCH(5,2.75),
  TESTASYNCH(9,2.75),
  TESTASYNCH(13,2.75),
  TESTASYNCH(17,2.75),
  TESTASYNCH(21,2.75),
  TESTASYNCH(25,2.75),
  TESTASYNCH(29,2.75),
  TESTASYNCH(33,2.75),
  TESTASYNCH(37,2.75),
  TESTASYNCH(41,2.75),
  TESTASYNCH(45,2.75),
  TESTASYNCH(49,2.75),
  TESTASYNCH(53,2.75),
  TESTASYNCH(57,2.75),
  TESTASYNCH(61,2.75),
  TESTASYNCH(65,2.75),
  TESTASYNCH(69,2.75),
  TESTASYNCH(73,2.75),
  TESTASYNCH(77,2.75),
  TESTASYNCH(81,2.75),
  TESTASYNCH(85,2.75),
  TESTASYNCH(89,2.75),
  TESTASYNCH(93,2.75),
  TESTASYNCH(97,2.75),
  TESTASYNCH(101,2.75),
  TESTASYNCH(105,2.75),
  TESTASYNCH(109,2.75),
  TESTASYNCH(113,2.75)
) /F2, 0)</f>
        <v>0</v>
      </c>
      <c r="O4" s="21"/>
      <c r="P4" s="21">
        <f ca="1">IFERROR(SUM(
  TESTASYNCH(1,3.25),
  TESTASYNCH(5,3.25),
  TESTASYNCH(9,3.25),
  TESTASYNCH(13,3.25),
  TESTASYNCH(17,3.25),
  TESTASYNCH(21,3.25),
  TESTASYNCH(25,3.25),
  TESTASYNCH(29,3.25),
  TESTASYNCH(33,3.25),
  TESTASYNCH(37,3.25),
  TESTASYNCH(41,3.25),
  TESTASYNCH(45,3.25),
  TESTASYNCH(49,3.25),
  TESTASYNCH(53,3.25),
  TESTASYNCH(57,3.25),
  TESTASYNCH(61,3.25),
  TESTASYNCH(65,3.25),
  TESTASYNCH(69,3.25),
  TESTASYNCH(73,3.25),
  TESTASYNCH(77,3.25),
  TESTASYNCH(81,3.25),
  TESTASYNCH(85,3.25),
  TESTASYNCH(89,3.25),
  TESTASYNCH(93,3.25),
  TESTASYNCH(97,3.25),
  TESTASYNCH(101,3.25),
  TESTASYNCH(105,3.25),
  TESTASYNCH(109,3.25),
  TESTASYNCH(113,3.25)
) / F2, 0)</f>
        <v>0</v>
      </c>
      <c r="Q4" s="21"/>
      <c r="R4" s="21">
        <f ca="1">IFERROR(SUM(
  TESTASYNCH(1,3.75),
  TESTASYNCH(5,3.75),
  TESTASYNCH(9,3.75),
  TESTASYNCH(13,3.75),
  TESTASYNCH(17,3.75),
  TESTASYNCH(21,3.75),
  TESTASYNCH(25,3.75),
  TESTASYNCH(29,3.75),
  TESTASYNCH(33,3.75),
  TESTASYNCH(37,3.75),
  TESTASYNCH(41,3.75),
  TESTASYNCH(45,3.75),
  TESTASYNCH(49,3.75),
  TESTASYNCH(53,3.75),
  TESTASYNCH(57,3.75),
  TESTASYNCH(61,3.75),
  TESTASYNCH(65,3.75),
  TESTASYNCH(69,3.75),
  TESTASYNCH(73,3.75),
  TESTASYNCH(77,3.75),
  TESTASYNCH(81,3.75),
  TESTASYNCH(85,3.75),
  TESTASYNCH(89,3.75),
  TESTASYNCH(93,3.75),
  TESTASYNCH(97,3.75),
  TESTASYNCH(101,3.75),
  TESTASYNCH(105,3.75),
  TESTASYNCH(109,3.75),
  TESTASYNCH(113,3.75)
) / F2, 0)</f>
        <v>0</v>
      </c>
      <c r="S4" s="21"/>
      <c r="T4" s="21">
        <f ca="1">IFERROR(SUM(
  TESTASYNCH(1,4.25),
  TESTASYNCH(5,4.25),
  TESTASYNCH(9,4.25),
  TESTASYNCH(13,4.25),
  TESTASYNCH(17,4.25),
  TESTASYNCH(21,4.25),
  TESTASYNCH(25,4.25),
  TESTASYNCH(29,4.25),
  TESTASYNCH(33,4.25),
  TESTASYNCH(37,4.25),
  TESTASYNCH(41,4.25),
  TESTASYNCH(45,4.25),
  TESTASYNCH(49,4.25),
  TESTASYNCH(53,4.25),
  TESTASYNCH(57,4.25),
  TESTASYNCH(61,4.25),
  TESTASYNCH(65,4.25),
  TESTASYNCH(69,4.25),
  TESTASYNCH(73,4.25),
  TESTASYNCH(77,4.25),
  TESTASYNCH(81,4.25),
  TESTASYNCH(85,4.25),
  TESTASYNCH(89,4.25),
  TESTASYNCH(93,4.25),
  TESTASYNCH(97,4.25),
  TESTASYNCH(101,4.25),
  TESTASYNCH(105,4.25),
  TESTASYNCH(109,4.25),
  TESTASYNCH(113,4.25)
) / F2, 0)</f>
        <v>0</v>
      </c>
      <c r="U4" s="21"/>
      <c r="V4" s="21">
        <f ca="1">IFERROR(SUM(
  TESTASYNCH(1,4.75),
  TESTASYNCH(5,4.75),
  TESTASYNCH(9,4.75),
  TESTASYNCH(13,4.75),
  TESTASYNCH(17,4.75),
  TESTASYNCH(21,4.75),
  TESTASYNCH(25,4.75),
  TESTASYNCH(29,4.75),
  TESTASYNCH(33,4.75),
  TESTASYNCH(37,4.75),
  TESTASYNCH(41,4.75),
  TESTASYNCH(45,4.75),
  TESTASYNCH(49,4.75),
  TESTASYNCH(53,4.75),
  TESTASYNCH(57,4.75),
  TESTASYNCH(61,4.75),
  TESTASYNCH(65,4.75),
  TESTASYNCH(69,4.75),
  TESTASYNCH(73,4.75),
  TESTASYNCH(77,4.75),
  TESTASYNCH(81,4.75),
  TESTASYNCH(85,4.75),
  TESTASYNCH(89,4.75),
  TESTASYNCH(93,4.75),
  TESTASYNCH(97,4.75),
  TESTASYNCH(101,4.75),
  TESTASYNCH(105,4.75),
  TESTASYNCH(109,4.75),
  TESTASYNCH(113,4.75)
) / F2, 0)</f>
        <v>0</v>
      </c>
      <c r="W4" s="21"/>
      <c r="X4" s="21">
        <f ca="1">IFERROR(SUM(
  TESTASYNCH(1,5.25),
  TESTASYNCH(5,5.25),
  TESTASYNCH(9,5.25),
  TESTASYNCH(13,5.25),
  TESTASYNCH(17,5.25),
  TESTASYNCH(21,5.25),
  TESTASYNCH(25,5.25),
  TESTASYNCH(29,5.25),
  TESTASYNCH(33,5.25),
  TESTASYNCH(37,5.25),
  TESTASYNCH(41,5.25),
  TESTASYNCH(45,5.25),
  TESTASYNCH(49,5.25),
  TESTASYNCH(53,5.25),
  TESTASYNCH(57,5.25),
  TESTASYNCH(61,5.25),
  TESTASYNCH(65,5.25),
  TESTASYNCH(69,5.25),
  TESTASYNCH(73,5.25),
  TESTASYNCH(77,5.25),
  TESTASYNCH(81,5.25),
  TESTASYNCH(85,5.25),
  TESTASYNCH(89,5.25),
  TESTASYNCH(93,5.25),
  TESTASYNCH(97,5.25),
  TESTASYNCH(101,5.25),
  TESTASYNCH(105,5.25),
  TESTASYNCH(109,5.25),
  TESTASYNCH(113,5.25)
) / F2, 0)</f>
        <v>0</v>
      </c>
      <c r="Y4" s="21"/>
      <c r="Z4" s="21">
        <f ca="1">IFERROR(SUM(
  TESTASYNCH(1,5.75),
  TESTASYNCH(5,5.75),
  TESTASYNCH(9,5.75),
  TESTASYNCH(13,5.75),
  TESTASYNCH(17,5.75),
  TESTASYNCH(21,5.75),
  TESTASYNCH(25,5.75),
  TESTASYNCH(29,5.75),
  TESTASYNCH(33,5.75),
  TESTASYNCH(37,5.75),
  TESTASYNCH(41,5.75),
  TESTASYNCH(45,5.75),
  TESTASYNCH(49,5.75),
  TESTASYNCH(53,5.75),
  TESTASYNCH(57,5.75),
  TESTASYNCH(61,5.75),
  TESTASYNCH(65,5.75),
  TESTASYNCH(69,5.75),
  TESTASYNCH(73,5.75),
  TESTASYNCH(77,5.75),
  TESTASYNCH(81,5.75),
  TESTASYNCH(85,5.75),
  TESTASYNCH(89,5.75),
  TESTASYNCH(93,5.75),
  TESTASYNCH(97,5.75),
  TESTASYNCH(101,5.75),
  TESTASYNCH(105,5.75),
  TESTASYNCH(109,5.75),
  TESTASYNCH(113,5.75)
) / F2, 0)</f>
        <v>0</v>
      </c>
      <c r="AA4" s="21"/>
    </row>
    <row r="5" spans="1:29" x14ac:dyDescent="0.3">
      <c r="A5" s="10" t="s">
        <v>14</v>
      </c>
      <c r="B5" s="2">
        <f t="shared" si="0"/>
        <v>0.30000000000000004</v>
      </c>
      <c r="C5" s="2">
        <v>0</v>
      </c>
      <c r="E5" s="1"/>
      <c r="F5" s="3" t="s">
        <v>6</v>
      </c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>
        <f ca="1">IFERROR(SUM(
  TESTSPON(1,6),
  TESTSPON(5,6),
  TESTSPON(9,6),
  TESTSPON(13,6),
  TESTSPON(17,6),
  TESTSPON(21,6),
  TESTSPON(25,6),
  TESTSPON(29,6),
  TESTSPON(33,6),
  TESTSPON(37,6),
  TESTSPON(41,6),
  TESTSPON(45,6),
  TESTSPON(49,6),
  TESTSPON(53,6),
  TESTSPON(57,6),
  TESTSPON(61,6),
  TESTSPON(65,6),
  TESTSPON(69,6),
  TESTSPON(73,6),
  TESTSPON(77,6),
  TESTSPON(81,6),
  TESTSPON(85,6),
  TESTSPON(89,6),
  TESTSPON(93,6),
  TESTSPON(97,6),
  TESTSPON(101,6),
  TESTSPON(105,6),
  TESTSPON(109,6),
  TESTSPON(113,6)
) / F2, 0)</f>
        <v>0</v>
      </c>
    </row>
    <row r="6" spans="1:29" x14ac:dyDescent="0.3">
      <c r="B6" s="2">
        <f t="shared" si="0"/>
        <v>0.4</v>
      </c>
      <c r="C6" s="2">
        <v>0</v>
      </c>
      <c r="E6" s="1"/>
      <c r="F6" s="3" t="s">
        <v>3</v>
      </c>
      <c r="G6">
        <f ca="1">IFERROR(TRUNC(SUM(
  TESTINTENSITYSYNCH(1,1),
  TESTINTENSITYSYNCH(5,1),
  TESTINTENSITYSYNCH(9,1),
  TESTINTENSITYSYNCH(13,1),
  TESTINTENSITYSYNCH(17,1),
  TESTINTENSITYSYNCH(21,1),
  TESTINTENSITYSYNCH(25,1),
  TESTINTENSITYSYNCH(29,1),
  TESTINTENSITYSYNCH(33,1),
  TESTINTENSITYSYNCH(37,1),
  TESTINTENSITYSYNCH(41,1),
  TESTINTENSITYSYNCH(45,1),
  TESTINTENSITYSYNCH(49,1),
  TESTINTENSITYSYNCH(53,1),
  TESTINTENSITYSYNCH(57,1),
  TESTINTENSITYSYNCH(61,1),
  TESTINTENSITYSYNCH(65,1),
  TESTINTENSITYSYNCH(69,1),
  TESTINTENSITYSYNCH(73,1),
  TESTINTENSITYSYNCH(77,1),
  TESTINTENSITYSYNCH(81,1),
  TESTINTENSITYSYNCH(85,1),
  TESTINTENSITYSYNCH(89,1),
  TESTINTENSITYSYNCH(93,1),
  TESTINTENSITYSYNCH(97,1),
  TESTINTENSITYSYNCH(101,1),
  TESTINTENSITYSYNCH(105,1),
  TESTINTENSITYSYNCH(109,1),
  TESTINTENSITYSYNCH(113,1)
) / (G3*F2), 3), 0)</f>
        <v>0</v>
      </c>
      <c r="H6">
        <f ca="1">IFERROR(TRUNC(SUM(
  TESTINTENSITYASYNCH(1,1.25),
  TESTINTENSITYASYNCH(5,1.25),
  TESTINTENSITYASYNCH(9,1.25),
  TESTINTENSITYASYNCH(13,1.25),
  TESTINTENSITYASYNCH(17,1.25),
  TESTINTENSITYASYNCH(21,1.25),
  TESTINTENSITYASYNCH(25,1.25),
  TESTINTENSITYASYNCH(29,1.25),
  TESTINTENSITYASYNCH(33,1.25),
  TESTINTENSITYASYNCH(37,1.25),
  TESTINTENSITYASYNCH(41,1.25),
  TESTINTENSITYASYNCH(45,1.25),
  TESTINTENSITYASYNCH(49,1.25),
  TESTINTENSITYASYNCH(53,1.25),
  TESTINTENSITYASYNCH(57,1.25),
  TESTINTENSITYASYNCH(61,1.25),
  TESTINTENSITYASYNCH(65,1.25),
  TESTINTENSITYASYNCH(69,1.25),
  TESTINTENSITYASYNCH(73,1.25),
  TESTINTENSITYASYNCH(77,1.25),
  TESTINTENSITYASYNCH(81,1.25),
  TESTINTENSITYASYNCH(85,1.25),
  TESTINTENSITYASYNCH(89,1.25),
  TESTINTENSITYASYNCH(93,1.25),
  TESTINTENSITYASYNCH(97,1.25),
  TESTINTENSITYASYNCH(101,1.25),
  TESTINTENSITYASYNCH(105,1.25),
  TESTINTENSITYASYNCH(109,1.25),
  TESTINTENSITYASYNCH(113,1.25)
) / (H4*F2), 3), 0)</f>
        <v>0</v>
      </c>
      <c r="I6">
        <f ca="1">IFERROR(TRUNC(SUM(
  TESTINTENSITYSYNCH(1,1.5),
  TESTINTENSITYSYNCH(5,1.5),
  TESTINTENSITYSYNCH(9,1.5),
  TESTINTENSITYSYNCH(13,1.5),
  TESTINTENSITYSYNCH(17,1.5),
  TESTINTENSITYSYNCH(21,1.5),
  TESTINTENSITYSYNCH(25,1.5),
  TESTINTENSITYSYNCH(29,1.5),
  TESTINTENSITYSYNCH(33,1.5),
  TESTINTENSITYSYNCH(37,1.5),
  TESTINTENSITYSYNCH(41,1.5),
  TESTINTENSITYSYNCH(45,1.5),
  TESTINTENSITYSYNCH(49,1.5),
  TESTINTENSITYSYNCH(53,1.5),
  TESTINTENSITYSYNCH(57,1.5),
  TESTINTENSITYSYNCH(61,1.5),
  TESTINTENSITYSYNCH(65,1.5),
  TESTINTENSITYSYNCH(69,1.5),
  TESTINTENSITYSYNCH(73,1.5),
  TESTINTENSITYSYNCH(77,1.5),
  TESTINTENSITYSYNCH(81,1.5),
  TESTINTENSITYSYNCH(85,1.5),
  TESTINTENSITYSYNCH(89,1.5),
  TESTINTENSITYSYNCH(93,1.5),
  TESTINTENSITYSYNCH(97,1.5),
  TESTINTENSITYSYNCH(101,1.5),
  TESTINTENSITYSYNCH(105,1.5),
  TESTINTENSITYSYNCH(109,1.5),
  TESTINTENSITYSYNCH(113,1.5)
) / (I3*F2), 3), 0)</f>
        <v>0</v>
      </c>
      <c r="J6">
        <f ca="1">IFERROR(TRUNC(SUM(
  TESTINTENSITYASYNCH(1,1.75),
  TESTINTENSITYASYNCH(5,1.75),
  TESTINTENSITYASYNCH(9,1.75),
  TESTINTENSITYASYNCH(13,1.75),
  TESTINTENSITYASYNCH(17,1.75),
  TESTINTENSITYASYNCH(21,1.75),
  TESTINTENSITYASYNCH(25,1.75),
  TESTINTENSITYASYNCH(29,1.75),
  TESTINTENSITYASYNCH(33,1.75),
  TESTINTENSITYASYNCH(37,1.75),
  TESTINTENSITYASYNCH(41,1.75),
  TESTINTENSITYASYNCH(45,1.75),
  TESTINTENSITYASYNCH(49,1.75),
  TESTINTENSITYASYNCH(53,1.75),
  TESTINTENSITYASYNCH(57,1.75),
  TESTINTENSITYASYNCH(61,1.75),
  TESTINTENSITYASYNCH(65,1.75),
  TESTINTENSITYASYNCH(69,1.75),
  TESTINTENSITYASYNCH(73,1.75),
  TESTINTENSITYASYNCH(77,1.75),
  TESTINTENSITYASYNCH(81,1.75),
  TESTINTENSITYASYNCH(85,1.75),
  TESTINTENSITYASYNCH(89,1.75),
  TESTINTENSITYASYNCH(93,1.75),
  TESTINTENSITYASYNCH(97,1.75),
  TESTINTENSITYASYNCH(101,1.75),
  TESTINTENSITYASYNCH(105,1.75),
  TESTINTENSITYASYNCH(109,1.75),
  TESTINTENSITYASYNCH(113,1.75)
) / (J4*F2), 3), 0)</f>
        <v>0</v>
      </c>
      <c r="K6">
        <f ca="1">IFERROR(TRUNC(SUM(
  TESTINTENSITYSYNCH(1,2),
  TESTINTENSITYSYNCH(5,2),
  TESTINTENSITYSYNCH(9,2),
  TESTINTENSITYSYNCH(13,2),
  TESTINTENSITYSYNCH(17,2),
  TESTINTENSITYSYNCH(21,2),
  TESTINTENSITYSYNCH(25,2),
  TESTINTENSITYSYNCH(29,2),
  TESTINTENSITYSYNCH(33,2),
  TESTINTENSITYSYNCH(37,2),
  TESTINTENSITYSYNCH(41,2),
  TESTINTENSITYSYNCH(45,2),
  TESTINTENSITYSYNCH(49,2),
  TESTINTENSITYSYNCH(53,2),
  TESTINTENSITYSYNCH(57,2),
  TESTINTENSITYSYNCH(61,2),
  TESTINTENSITYSYNCH(65,2),
  TESTINTENSITYSYNCH(69,2),
  TESTINTENSITYSYNCH(73,2),
  TESTINTENSITYSYNCH(77,2),
  TESTINTENSITYSYNCH(81,2),
  TESTINTENSITYSYNCH(85,2),
  TESTINTENSITYSYNCH(89,2),
  TESTINTENSITYSYNCH(93,2),
  TESTINTENSITYSYNCH(97,2),
  TESTINTENSITYSYNCH(101,2),
  TESTINTENSITYSYNCH(105,2),
  TESTINTENSITYSYNCH(109,2),
  TESTINTENSITYSYNCH(113,2)
) / (K3*F2), 3), 0)</f>
        <v>0</v>
      </c>
      <c r="L6">
        <f ca="1">IFERROR(TRUNC(SUM(
  TESTINTENSITYASYNCH(1,2.25),
  TESTINTENSITYASYNCH(5,2.25),
  TESTINTENSITYASYNCH(9,2.25),
  TESTINTENSITYASYNCH(13,2.25),
  TESTINTENSITYASYNCH(17,2.25),
  TESTINTENSITYASYNCH(21,2.25),
  TESTINTENSITYASYNCH(25,2.25),
  TESTINTENSITYASYNCH(29,2.25),
  TESTINTENSITYASYNCH(33,2.25),
  TESTINTENSITYASYNCH(37,2.25),
  TESTINTENSITYASYNCH(41,2.25),
  TESTINTENSITYASYNCH(45,2.25),
  TESTINTENSITYASYNCH(49,2.25),
  TESTINTENSITYASYNCH(53,2.25),
  TESTINTENSITYASYNCH(57,2.25),
  TESTINTENSITYASYNCH(61,2.25),
  TESTINTENSITYASYNCH(65,2.25),
  TESTINTENSITYASYNCH(69,2.25),
  TESTINTENSITYASYNCH(73,2.25),
  TESTINTENSITYASYNCH(77,2.25),
  TESTINTENSITYASYNCH(81,2.25),
  TESTINTENSITYASYNCH(85,2.25),
  TESTINTENSITYASYNCH(89,2.25),
  TESTINTENSITYASYNCH(93,2.25),
  TESTINTENSITYASYNCH(97,2.25),
  TESTINTENSITYASYNCH(101,2.25),
  TESTINTENSITYASYNCH(105,2.25),
  TESTINTENSITYASYNCH(109,2.25),
  TESTINTENSITYASYNCH(113,2.25)
) / (L4*F2), 3), 0)</f>
        <v>0</v>
      </c>
      <c r="M6">
        <f ca="1">IFERROR(TRUNC(SUM(
  TESTINTENSITYSYNCH(1,2.5),
  TESTINTENSITYSYNCH(5,2.5),
  TESTINTENSITYSYNCH(9,2.5),
  TESTINTENSITYSYNCH(13,2.5),
  TESTINTENSITYSYNCH(17,2.5),
  TESTINTENSITYSYNCH(21,2.5),
  TESTINTENSITYSYNCH(25,2.5),
  TESTINTENSITYSYNCH(29,2.5),
  TESTINTENSITYSYNCH(33,2.5),
  TESTINTENSITYSYNCH(37,2.5),
  TESTINTENSITYSYNCH(41,2.5),
  TESTINTENSITYSYNCH(45,2.5),
  TESTINTENSITYSYNCH(49,2.5),
  TESTINTENSITYSYNCH(53,2.5),
  TESTINTENSITYSYNCH(57,2.5),
  TESTINTENSITYSYNCH(61,2.5),
  TESTINTENSITYSYNCH(65,2.5),
  TESTINTENSITYSYNCH(69,2.5),
  TESTINTENSITYSYNCH(73,2.5),
  TESTINTENSITYSYNCH(77,2.5),
  TESTINTENSITYSYNCH(81,2.5),
  TESTINTENSITYSYNCH(85,2.5),
  TESTINTENSITYSYNCH(89,2.5),
  TESTINTENSITYSYNCH(93,2.5),
  TESTINTENSITYSYNCH(97,2.5),
  TESTINTENSITYSYNCH(101,2.5),
  TESTINTENSITYSYNCH(105,2.5),
  TESTINTENSITYSYNCH(109,2.5),
  TESTINTENSITYSYNCH(113,2.5)
) / (M3*F2), 3), 0)</f>
        <v>0</v>
      </c>
      <c r="N6">
        <f ca="1">IFERROR(TRUNC(SUM(
  TESTINTENSITYASYNCH(1,2.75),
  TESTINTENSITYASYNCH(5,2.75),
  TESTINTENSITYASYNCH(9,2.75),
  TESTINTENSITYASYNCH(13,2.75),
  TESTINTENSITYASYNCH(17,2.75),
  TESTINTENSITYASYNCH(21,2.75),
  TESTINTENSITYASYNCH(25,2.75),
  TESTINTENSITYASYNCH(29,2.75),
  TESTINTENSITYASYNCH(33,2.75),
  TESTINTENSITYASYNCH(37,2.75),
  TESTINTENSITYASYNCH(41,2.75),
  TESTINTENSITYASYNCH(45,2.75),
  TESTINTENSITYASYNCH(49,2.75),
  TESTINTENSITYASYNCH(53,2.75),
  TESTINTENSITYASYNCH(57,2.75),
  TESTINTENSITYASYNCH(61,2.75),
  TESTINTENSITYASYNCH(65,2.75),
  TESTINTENSITYASYNCH(69,2.75),
  TESTINTENSITYASYNCH(73,2.75),
  TESTINTENSITYASYNCH(77,2.75),
  TESTINTENSITYASYNCH(81,2.75),
  TESTINTENSITYASYNCH(85,2.75),
  TESTINTENSITYASYNCH(89,2.75),
  TESTINTENSITYASYNCH(93,2.75),
  TESTINTENSITYASYNCH(97,2.75),
  TESTINTENSITYASYNCH(101,2.75),
  TESTINTENSITYASYNCH(105,2.75),
  TESTINTENSITYASYNCH(109,2.75),
  TESTINTENSITYASYNCH(113,2.75)
) / (N4*F2), 3), 0)</f>
        <v>0</v>
      </c>
      <c r="O6">
        <f ca="1">IFERROR(TRUNC(SUM(
  TESTINTENSITYSYNCH(1,3),
  TESTINTENSITYSYNCH(5,3),
  TESTINTENSITYSYNCH(9,3),
  TESTINTENSITYSYNCH(13,3),
  TESTINTENSITYSYNCH(17,3),
  TESTINTENSITYSYNCH(21,3),
  TESTINTENSITYSYNCH(25,3),
  TESTINTENSITYSYNCH(29,3),
  TESTINTENSITYSYNCH(33,3),
  TESTINTENSITYSYNCH(37,3),
  TESTINTENSITYSYNCH(41,3),
  TESTINTENSITYSYNCH(45,3),
  TESTINTENSITYSYNCH(49,3),
  TESTINTENSITYSYNCH(53,3),
  TESTINTENSITYSYNCH(57,3),
  TESTINTENSITYSYNCH(61,3),
  TESTINTENSITYSYNCH(65,3),
  TESTINTENSITYSYNCH(69,3),
  TESTINTENSITYSYNCH(73,3),
  TESTINTENSITYSYNCH(77,3),
  TESTINTENSITYSYNCH(81,3),
  TESTINTENSITYSYNCH(85,3),
  TESTINTENSITYSYNCH(89,3),
  TESTINTENSITYSYNCH(93,3),
  TESTINTENSITYSYNCH(97,3),
  TESTINTENSITYSYNCH(101,3),
  TESTINTENSITYSYNCH(105,3),
  TESTINTENSITYSYNCH(109,3),
  TESTINTENSITYSYNCH(113,3)
) / (O3*F2), 3), 0)</f>
        <v>0</v>
      </c>
      <c r="P6">
        <f ca="1">IFERROR(TRUNC(SUM(
  TESTINTENSITYASYNCH(1,3.25),
  TESTINTENSITYASYNCH(5,3.25),
  TESTINTENSITYASYNCH(9,3.25),
  TESTINTENSITYASYNCH(13,3.25),
  TESTINTENSITYASYNCH(17,3.25),
  TESTINTENSITYASYNCH(21,3.25),
  TESTINTENSITYASYNCH(25,3.25),
  TESTINTENSITYASYNCH(29,3.25),
  TESTINTENSITYASYNCH(33,3.25),
  TESTINTENSITYASYNCH(37,3.25),
  TESTINTENSITYASYNCH(41,3.25),
  TESTINTENSITYASYNCH(45,3.25),
  TESTINTENSITYASYNCH(49,3.25),
  TESTINTENSITYASYNCH(53,3.25),
  TESTINTENSITYASYNCH(57,3.25),
  TESTINTENSITYASYNCH(61,3.25),
  TESTINTENSITYASYNCH(65,3.25),
  TESTINTENSITYASYNCH(69,3.25),
  TESTINTENSITYASYNCH(73,3.25),
  TESTINTENSITYASYNCH(77,3.25),
  TESTINTENSITYASYNCH(81,3.25),
  TESTINTENSITYASYNCH(85,3.25),
  TESTINTENSITYASYNCH(89,3.25),
  TESTINTENSITYASYNCH(93,3.25),
  TESTINTENSITYASYNCH(97,3.25),
  TESTINTENSITYASYNCH(101,3.25),
  TESTINTENSITYASYNCH(105,3.25),
  TESTINTENSITYASYNCH(109,3.25),
  TESTINTENSITYASYNCH(113,3.25)
) / (P4*F2), 3), 0)</f>
        <v>0</v>
      </c>
      <c r="Q6">
        <f ca="1">IFERROR(TRUNC(SUM(
  TESTINTENSITYSYNCH(1,3.5),
  TESTINTENSITYSYNCH(5,3.5),
  TESTINTENSITYSYNCH(9,3.5),
  TESTINTENSITYSYNCH(13,3.5),
  TESTINTENSITYSYNCH(17,3.5),
  TESTINTENSITYSYNCH(21,3.5),
  TESTINTENSITYSYNCH(25,3.5),
  TESTINTENSITYSYNCH(29,3.5),
  TESTINTENSITYSYNCH(33,3.5),
  TESTINTENSITYSYNCH(37,3.5),
  TESTINTENSITYSYNCH(41,3.5),
  TESTINTENSITYSYNCH(45,3.5),
  TESTINTENSITYSYNCH(49,3.5),
  TESTINTENSITYSYNCH(53,3.5),
  TESTINTENSITYSYNCH(57,3.5),
  TESTINTENSITYSYNCH(61,3.5),
  TESTINTENSITYSYNCH(65,3.5),
  TESTINTENSITYSYNCH(69,3.5),
  TESTINTENSITYSYNCH(73,3.5),
  TESTINTENSITYSYNCH(77,3.5),
  TESTINTENSITYSYNCH(81,3.5),
  TESTINTENSITYSYNCH(85,3.5),
  TESTINTENSITYSYNCH(89,3.5),
  TESTINTENSITYSYNCH(93,3.5),
  TESTINTENSITYSYNCH(97,3.5),
  TESTINTENSITYSYNCH(101,3.5),
  TESTINTENSITYSYNCH(105,3.5),
  TESTINTENSITYSYNCH(109,3.5),
  TESTINTENSITYSYNCH(113,3.5)
) / (Q3*F2), 3), 0)</f>
        <v>0</v>
      </c>
      <c r="R6">
        <f ca="1">IFERROR(TRUNC(SUM(
  TESTINTENSITYASYNCH(1,3.75),
  TESTINTENSITYASYNCH(5,3.75),
  TESTINTENSITYASYNCH(9,3.75),
  TESTINTENSITYASYNCH(13,3.75),
  TESTINTENSITYASYNCH(17,3.75),
  TESTINTENSITYASYNCH(21,3.75),
  TESTINTENSITYASYNCH(25,3.75),
  TESTINTENSITYASYNCH(29,3.75),
  TESTINTENSITYASYNCH(33,3.75),
  TESTINTENSITYASYNCH(37,3.75),
  TESTINTENSITYASYNCH(41,3.75),
  TESTINTENSITYASYNCH(45,3.75),
  TESTINTENSITYASYNCH(49,3.75),
  TESTINTENSITYASYNCH(53,3.75),
  TESTINTENSITYASYNCH(57,3.75),
  TESTINTENSITYASYNCH(61,3.75),
  TESTINTENSITYASYNCH(65,3.75),
  TESTINTENSITYASYNCH(69,3.75),
  TESTINTENSITYASYNCH(73,3.75),
  TESTINTENSITYASYNCH(77,3.75),
  TESTINTENSITYASYNCH(81,3.75),
  TESTINTENSITYASYNCH(85,3.75),
  TESTINTENSITYASYNCH(89,3.75),
  TESTINTENSITYASYNCH(93,3.75),
  TESTINTENSITYASYNCH(97,3.75),
  TESTINTENSITYASYNCH(101,3.75),
  TESTINTENSITYASYNCH(105,3.75),
  TESTINTENSITYASYNCH(109,3.75),
  TESTINTENSITYASYNCH(113,3.75)
) / (R4*F2), 3), 0)</f>
        <v>0</v>
      </c>
      <c r="S6">
        <f ca="1">IFERROR(TRUNC(SUM(
  TESTINTENSITYSYNCH(1,4),
  TESTINTENSITYSYNCH(5,4),
  TESTINTENSITYSYNCH(9,4),
  TESTINTENSITYSYNCH(13,4),
  TESTINTENSITYSYNCH(17,4),
  TESTINTENSITYSYNCH(21,4),
  TESTINTENSITYSYNCH(25,4),
  TESTINTENSITYSYNCH(29,4),
  TESTINTENSITYSYNCH(33,4),
  TESTINTENSITYSYNCH(37,4),
  TESTINTENSITYSYNCH(41,4),
  TESTINTENSITYSYNCH(45,4),
  TESTINTENSITYSYNCH(49,4),
  TESTINTENSITYSYNCH(53,4),
  TESTINTENSITYSYNCH(57,4),
  TESTINTENSITYSYNCH(61,4),
  TESTINTENSITYSYNCH(65,4),
  TESTINTENSITYSYNCH(69,4),
  TESTINTENSITYSYNCH(73,4),
  TESTINTENSITYSYNCH(77,4),
  TESTINTENSITYSYNCH(81,4),
  TESTINTENSITYSYNCH(85,4),
  TESTINTENSITYSYNCH(89,4),
  TESTINTENSITYSYNCH(93,4),
  TESTINTENSITYSYNCH(97,4),
  TESTINTENSITYSYNCH(101,4),
  TESTINTENSITYSYNCH(105,4),
  TESTINTENSITYSYNCH(109,4),
  TESTINTENSITYSYNCH(113,4)
) / (S3*F2), 3), 0)</f>
        <v>0</v>
      </c>
      <c r="T6">
        <f ca="1">IFERROR(TRUNC(SUM(
  TESTINTENSITYASYNCH(1,4.25),
  TESTINTENSITYASYNCH(5,4.25),
  TESTINTENSITYASYNCH(9,4.25),
  TESTINTENSITYASYNCH(13,4.25),
  TESTINTENSITYASYNCH(17,4.25),
  TESTINTENSITYASYNCH(21,4.25),
  TESTINTENSITYASYNCH(25,4.25),
  TESTINTENSITYASYNCH(29,4.25),
  TESTINTENSITYASYNCH(33,4.25),
  TESTINTENSITYASYNCH(37,4.25),
  TESTINTENSITYASYNCH(41,4.25),
  TESTINTENSITYASYNCH(45,4.25),
  TESTINTENSITYASYNCH(49,4.25),
  TESTINTENSITYASYNCH(53,4.25),
  TESTINTENSITYASYNCH(57,4.25),
  TESTINTENSITYASYNCH(61,4.25),
  TESTINTENSITYASYNCH(65,4.25),
  TESTINTENSITYASYNCH(69,4.25),
  TESTINTENSITYASYNCH(73,4.25),
  TESTINTENSITYASYNCH(77,4.25),
  TESTINTENSITYASYNCH(81,4.25),
  TESTINTENSITYASYNCH(85,4.25),
  TESTINTENSITYASYNCH(89,4.25),
  TESTINTENSITYASYNCH(93,4.25),
  TESTINTENSITYASYNCH(97,4.25),
  TESTINTENSITYASYNCH(101,4.25),
  TESTINTENSITYASYNCH(105,4.25),
  TESTINTENSITYASYNCH(109,4.25),
  TESTINTENSITYASYNCH(113,4.25)
) / (T4*F2), 3), 0)</f>
        <v>0</v>
      </c>
      <c r="U6">
        <f ca="1">IFERROR(TRUNC(SUM(
  TESTINTENSITYSYNCH(1,4.5),
  TESTINTENSITYSYNCH(5,4.5),
  TESTINTENSITYSYNCH(9,4.5),
  TESTINTENSITYSYNCH(13,4.5),
  TESTINTENSITYSYNCH(17,4.5),
  TESTINTENSITYSYNCH(21,4.5),
  TESTINTENSITYSYNCH(25,4.5),
  TESTINTENSITYSYNCH(29,4.5),
  TESTINTENSITYSYNCH(33,4.5),
  TESTINTENSITYSYNCH(37,4.5),
  TESTINTENSITYSYNCH(41,4.5),
  TESTINTENSITYSYNCH(45,4.5),
  TESTINTENSITYSYNCH(49,4.5),
  TESTINTENSITYSYNCH(53,4.5),
  TESTINTENSITYSYNCH(57,4.5),
  TESTINTENSITYSYNCH(61,4.5),
  TESTINTENSITYSYNCH(65,4.5),
  TESTINTENSITYSYNCH(69,4.5),
  TESTINTENSITYSYNCH(73,4.5),
  TESTINTENSITYSYNCH(77,4.5),
  TESTINTENSITYSYNCH(81,4.5),
  TESTINTENSITYSYNCH(85,4.5),
  TESTINTENSITYSYNCH(89,4.5),
  TESTINTENSITYSYNCH(93,4.5),
  TESTINTENSITYSYNCH(97,4.5),
  TESTINTENSITYSYNCH(101,4.5),
  TESTINTENSITYSYNCH(105,4.5),
  TESTINTENSITYSYNCH(109,4.5),
  TESTINTENSITYSYNCH(113,4.5)
) / (U3*F2), 3), 0)</f>
        <v>0</v>
      </c>
      <c r="V6">
        <f ca="1">IFERROR(TRUNC(SUM(
  TESTINTENSITYASYNCH(1,4.75),
  TESTINTENSITYASYNCH(5,4.75),
  TESTINTENSITYASYNCH(9,4.75),
  TESTINTENSITYASYNCH(13,4.75),
  TESTINTENSITYASYNCH(17,4.75),
  TESTINTENSITYASYNCH(21,4.75),
  TESTINTENSITYASYNCH(25,4.75),
  TESTINTENSITYASYNCH(29,4.75),
  TESTINTENSITYASYNCH(33,4.75),
  TESTINTENSITYASYNCH(37,4.75),
  TESTINTENSITYASYNCH(41,4.75),
  TESTINTENSITYASYNCH(45,4.75),
  TESTINTENSITYASYNCH(49,4.75),
  TESTINTENSITYASYNCH(53,4.75),
  TESTINTENSITYASYNCH(57,4.75),
  TESTINTENSITYASYNCH(61,4.75),
  TESTINTENSITYASYNCH(65,4.75),
  TESTINTENSITYASYNCH(69,4.75),
  TESTINTENSITYASYNCH(73,4.75),
  TESTINTENSITYASYNCH(77,4.75),
  TESTINTENSITYASYNCH(81,4.75),
  TESTINTENSITYASYNCH(85,4.75),
  TESTINTENSITYASYNCH(89,4.75),
  TESTINTENSITYASYNCH(93,4.75),
  TESTINTENSITYASYNCH(97,4.75),
  TESTINTENSITYASYNCH(101,4.75),
  TESTINTENSITYASYNCH(105,4.75),
  TESTINTENSITYASYNCH(109,4.75),
  TESTINTENSITYASYNCH(113,4.75)
) / (V4*F2), 3), 0)</f>
        <v>0</v>
      </c>
      <c r="W6">
        <f ca="1">IFERROR(TRUNC(SUM(
  TESTINTENSITYSYNCH(1,5),
  TESTINTENSITYSYNCH(5,5),
  TESTINTENSITYSYNCH(9,5),
  TESTINTENSITYSYNCH(13,5),
  TESTINTENSITYSYNCH(17,5),
  TESTINTENSITYSYNCH(21,5),
  TESTINTENSITYSYNCH(25,5),
  TESTINTENSITYSYNCH(29,5),
  TESTINTENSITYSYNCH(33,5),
  TESTINTENSITYSYNCH(37,5),
  TESTINTENSITYSYNCH(41,5),
  TESTINTENSITYSYNCH(45,5),
  TESTINTENSITYSYNCH(49,5),
  TESTINTENSITYSYNCH(53,5),
  TESTINTENSITYSYNCH(57,5),
  TESTINTENSITYSYNCH(61,5),
  TESTINTENSITYSYNCH(65,5),
  TESTINTENSITYSYNCH(69,5),
  TESTINTENSITYSYNCH(73,5),
  TESTINTENSITYSYNCH(77,5),
  TESTINTENSITYSYNCH(81,5),
  TESTINTENSITYSYNCH(85,5),
  TESTINTENSITYSYNCH(89,5),
  TESTINTENSITYSYNCH(93,5),
  TESTINTENSITYSYNCH(97,5),
  TESTINTENSITYSYNCH(101,5),
  TESTINTENSITYSYNCH(105,5),
  TESTINTENSITYSYNCH(109,5),
  TESTINTENSITYSYNCH(113,5)
) / (W3*F2), 3), 0)</f>
        <v>0</v>
      </c>
      <c r="X6">
        <f ca="1">IFERROR(TRUNC(SUM(
  TESTINTENSITYASYNCH(1,5.25),
  TESTINTENSITYASYNCH(5,5.25),
  TESTINTENSITYASYNCH(9,5.25),
  TESTINTENSITYASYNCH(13,5.25),
  TESTINTENSITYASYNCH(17,5.25),
  TESTINTENSITYASYNCH(21,5.25),
  TESTINTENSITYASYNCH(25,5.25),
  TESTINTENSITYASYNCH(29,5.25),
  TESTINTENSITYASYNCH(33,5.25),
  TESTINTENSITYASYNCH(37,5.25),
  TESTINTENSITYASYNCH(41,5.25),
  TESTINTENSITYASYNCH(45,5.25),
  TESTINTENSITYASYNCH(49,5.25),
  TESTINTENSITYASYNCH(53,5.25),
  TESTINTENSITYASYNCH(57,5.25),
  TESTINTENSITYASYNCH(61,5.25),
  TESTINTENSITYASYNCH(65,5.25),
  TESTINTENSITYASYNCH(69,5.25),
  TESTINTENSITYASYNCH(73,5.25),
  TESTINTENSITYASYNCH(77,5.25),
  TESTINTENSITYASYNCH(81,5.25),
  TESTINTENSITYASYNCH(85,5.25),
  TESTINTENSITYASYNCH(89,5.25),
  TESTINTENSITYASYNCH(93,5.25),
  TESTINTENSITYASYNCH(97,5.25),
  TESTINTENSITYASYNCH(101,5.25),
  TESTINTENSITYASYNCH(105,5.25),
  TESTINTENSITYASYNCH(109,5.25),
  TESTINTENSITYASYNCH(113,5.25)
) / (X4*F2), 3), 0)</f>
        <v>0</v>
      </c>
      <c r="Y6">
        <f ca="1">IFERROR(TRUNC(SUM(
  TESTINTENSITYSYNCH(1,5.5),
  TESTINTENSITYSYNCH(5,5.5),
  TESTINTENSITYSYNCH(9,5.5),
  TESTINTENSITYSYNCH(13,5.5),
  TESTINTENSITYSYNCH(17,5.5),
  TESTINTENSITYSYNCH(21,5.5),
  TESTINTENSITYSYNCH(25,5.5),
  TESTINTENSITYSYNCH(29,5.5),
  TESTINTENSITYSYNCH(33,5.5),
  TESTINTENSITYSYNCH(37,5.5),
  TESTINTENSITYSYNCH(41,5.5),
  TESTINTENSITYSYNCH(45,5.5),
  TESTINTENSITYSYNCH(49,5.5),
  TESTINTENSITYSYNCH(53,5.5),
  TESTINTENSITYSYNCH(57,5.5),
  TESTINTENSITYSYNCH(61,5.5),
  TESTINTENSITYSYNCH(65,5.5),
  TESTINTENSITYSYNCH(69,5.5),
  TESTINTENSITYSYNCH(73,5.5),
  TESTINTENSITYSYNCH(77,5.5),
  TESTINTENSITYSYNCH(81,5.5),
  TESTINTENSITYSYNCH(85,5.5),
  TESTINTENSITYSYNCH(89,5.5),
  TESTINTENSITYSYNCH(93,5.5),
  TESTINTENSITYSYNCH(97,5.5),
  TESTINTENSITYSYNCH(101,5.5),
  TESTINTENSITYSYNCH(105,5.5),
  TESTINTENSITYSYNCH(109,5.5),
  TESTINTENSITYSYNCH(113,5.5)
) / (Y3*F2), 3), 0)</f>
        <v>0</v>
      </c>
      <c r="Z6">
        <f ca="1">IFERROR(TRUNC(SUM(
  TESTINTENSITYASYNCH(1,5.75),
  TESTINTENSITYASYNCH(5,5.75),
  TESTINTENSITYASYNCH(9,5.75),
  TESTINTENSITYASYNCH(13,5.75),
  TESTINTENSITYASYNCH(17,5.75),
  TESTINTENSITYASYNCH(21,5.75),
  TESTINTENSITYASYNCH(25,5.75),
  TESTINTENSITYASYNCH(29,5.75),
  TESTINTENSITYASYNCH(33,5.75),
  TESTINTENSITYASYNCH(37,5.75),
  TESTINTENSITYASYNCH(41,5.75),
  TESTINTENSITYASYNCH(45,5.75),
  TESTINTENSITYASYNCH(49,5.75),
  TESTINTENSITYASYNCH(53,5.75),
  TESTINTENSITYASYNCH(57,5.75),
  TESTINTENSITYASYNCH(61,5.75),
  TESTINTENSITYASYNCH(65,5.75),
  TESTINTENSITYASYNCH(69,5.75),
  TESTINTENSITYASYNCH(73,5.75),
  TESTINTENSITYASYNCH(77,5.75),
  TESTINTENSITYASYNCH(81,5.75),
  TESTINTENSITYASYNCH(85,5.75),
  TESTINTENSITYASYNCH(89,5.75),
  TESTINTENSITYASYNCH(93,5.75),
  TESTINTENSITYASYNCH(97,5.75),
  TESTINTENSITYASYNCH(101,5.75),
  TESTINTENSITYASYNCH(105,5.75),
  TESTINTENSITYASYNCH(109,5.75),
  TESTINTENSITYASYNCH(113,5.75)
) / (Z4*F2), 3), 0)</f>
        <v>0</v>
      </c>
      <c r="AA6">
        <f ca="1">IFERROR(TRUNC(SUM(
  TESTINTENSITYSPON(1,6),
  TESTINTENSITYSPON(5,6),
  TESTINTENSITYSPON(9,6),
  TESTINTENSITYSPON(13,6),
  TESTINTENSITYSPON(17,6),
  TESTINTENSITYSPON(21,6),
  TESTINTENSITYSPON(25,6),
  TESTINTENSITYSPON(29,6),
  TESTINTENSITYSPON(33,6),
  TESTINTENSITYSPON(37,6),
  TESTINTENSITYSPON(41,6),
  TESTINTENSITYSPON(45,6),
  TESTINTENSITYSPON(49,6),
  TESTINTENSITYSPON(53,6),
  TESTINTENSITYSPON(57,6),
  TESTINTENSITYSPON(61,6),
  TESTINTENSITYSPON(65,6),
  TESTINTENSITYSPON(69,6),
  TESTINTENSITYSPON(73,6),
  TESTINTENSITYSPON(77,6),
  TESTINTENSITYSPON(81,6),
  TESTINTENSITYSPON(85,6),
  TESTINTENSITYSPON(89,6),
  TESTINTENSITYSPON(93,6),
  TESTINTENSITYSPON(97,6),
  TESTINTENSITYSPON(101,6),
  TESTINTENSITYSPON(105,6),
  TESTINTENSITYSPON(109,6),
  TESTINTENSITYSPON(113,6)
) / (AA5*F2), 3), 0)</f>
        <v>0</v>
      </c>
    </row>
    <row r="7" spans="1:29" x14ac:dyDescent="0.3">
      <c r="B7" s="2">
        <f t="shared" si="0"/>
        <v>0.5</v>
      </c>
      <c r="C7" s="2">
        <v>0</v>
      </c>
      <c r="E7" s="1"/>
      <c r="F7" s="3" t="s">
        <v>4</v>
      </c>
      <c r="G7">
        <f ca="1">IFERROR(SUM(
  TESTVESICLESSYNC(1,1),
  TESTVESICLESSYNC(5,1),
  TESTVESICLESSYNC(9,1),
  TESTVESICLESSYNC(13,1),
  TESTVESICLESSYNC(17,1),
  TESTVESICLESSYNC(21,1),
  TESTVESICLESSYNC(25,1),
  TESTVESICLESSYNC(29,1),
  TESTVESICLESSYNC(33,1),
  TESTVESICLESSYNC(37,1),
  TESTVESICLESSYNC(41,1),
  TESTVESICLESSYNC(45,1),
  TESTVESICLESSYNC(49,1),
  TESTVESICLESSYNC(53,1),
  TESTVESICLESSYNC(57,1),
  TESTVESICLESSYNC(61,1),
  TESTVESICLESSYNC(65,1),
  TESTVESICLESSYNC(69,1),
  TESTVESICLESSYNC(73,1),
  TESTVESICLESSYNC(77,1),
  TESTVESICLESSYNC(81,1),
  TESTVESICLESSYNC(85,1),
  TESTVESICLESSYNC(89,1),
  TESTVESICLESSYNC(93,1),
  TESTVESICLESSYNC(97,1),
  TESTVESICLESSYNC(101,1),
  TESTVESICLESSYNC(105,1),
  TESTVESICLESSYNC(109,1),
  TESTVESICLESSYNC(113,1)
) / (G3*F2), 0)</f>
        <v>0</v>
      </c>
      <c r="H7">
        <f ca="1">IFERROR(SUM(
  TESTVESICLESASYNC(1,1.25),
  TESTVESICLESASYNC(5,1.25),
  TESTVESICLESASYNC(9,1.25),
  TESTVESICLESASYNC(13,1.25),
  TESTVESICLESASYNC(17,1.25),
  TESTVESICLESASYNC(21,1.25),
  TESTVESICLESASYNC(25,1.25),
  TESTVESICLESASYNC(29,1.25),
  TESTVESICLESASYNC(33,1.25),
  TESTVESICLESASYNC(37,1.25),
  TESTVESICLESASYNC(41,1.25),
  TESTVESICLESASYNC(45,1.25),
  TESTVESICLESASYNC(49,1.25),
  TESTVESICLESASYNC(53,1.25),
  TESTVESICLESASYNC(57,1.25),
  TESTVESICLESASYNC(61,1.25),
  TESTVESICLESASYNC(65,1.25),
  TESTVESICLESASYNC(69,1.25),
  TESTVESICLESASYNC(73,1.25),
  TESTVESICLESASYNC(77,1.25),
  TESTVESICLESASYNC(81,1.25),
  TESTVESICLESASYNC(85,1.25),
  TESTVESICLESASYNC(89,1.25),
  TESTVESICLESASYNC(93,1.25),
  TESTVESICLESASYNC(97,1.25),
  TESTVESICLESASYNC(101,1.25),
  TESTVESICLESASYNC(105,1.25),
  TESTVESICLESASYNC(109,1.25),
  TESTVESICLESASYNC(113,1.25)
) / (H4*F2), 0)</f>
        <v>0</v>
      </c>
      <c r="I7">
        <f ca="1">IFERROR(SUM(
  TESTVESICLESSYNC(1,1.5),
  TESTVESICLESSYNC(5,1.5),
  TESTVESICLESSYNC(9,1.5),
  TESTVESICLESSYNC(13,1.5),
  TESTVESICLESSYNC(17,1.5),
  TESTVESICLESSYNC(21,1.5),
  TESTVESICLESSYNC(25,1.5),
  TESTVESICLESSYNC(29,1.5),
  TESTVESICLESSYNC(33,1.5),
  TESTVESICLESSYNC(37,1.5),
  TESTVESICLESSYNC(41,1.5),
  TESTVESICLESSYNC(45,1.5),
  TESTVESICLESSYNC(49,1.5),
  TESTVESICLESSYNC(53,1.5),
  TESTVESICLESSYNC(57,1.5),
  TESTVESICLESSYNC(61,1.5),
  TESTVESICLESSYNC(65,1.5),
  TESTVESICLESSYNC(69,1.5),
  TESTVESICLESSYNC(73,1.5),
  TESTVESICLESSYNC(77,1.5),
  TESTVESICLESSYNC(81,1.5),
  TESTVESICLESSYNC(85,1.5),
  TESTVESICLESSYNC(89,1.5),
  TESTVESICLESSYNC(93,1.5),
  TESTVESICLESSYNC(97,1.5),
  TESTVESICLESSYNC(101,1.5),
  TESTVESICLESSYNC(105,1.5),
  TESTVESICLESSYNC(109,1.5),
  TESTVESICLESSYNC(113,1.5)
) / (I3*F2), 0)</f>
        <v>0</v>
      </c>
      <c r="J7">
        <f ca="1">IFERROR(SUM(
  TESTVESICLESASYNC(1,1.75),
  TESTVESICLESASYNC(5,1.75),
  TESTVESICLESASYNC(9,1.75),
  TESTVESICLESASYNC(13,1.75),
  TESTVESICLESASYNC(17,1.75),
  TESTVESICLESASYNC(21,1.75),
  TESTVESICLESASYNC(25,1.75),
  TESTVESICLESASYNC(29,1.75),
  TESTVESICLESASYNC(33,1.75),
  TESTVESICLESASYNC(37,1.75),
  TESTVESICLESASYNC(41,1.75),
  TESTVESICLESASYNC(45,1.75),
  TESTVESICLESASYNC(49,1.75),
  TESTVESICLESASYNC(53,1.75),
  TESTVESICLESASYNC(57,1.75),
  TESTVESICLESASYNC(61,1.75),
  TESTVESICLESASYNC(65,1.75),
  TESTVESICLESASYNC(69,1.75),
  TESTVESICLESASYNC(73,1.75),
  TESTVESICLESASYNC(77,1.75),
  TESTVESICLESASYNC(81,1.75),
  TESTVESICLESASYNC(85,1.75),
  TESTVESICLESASYNC(89,1.75),
  TESTVESICLESASYNC(93,1.75),
  TESTVESICLESASYNC(97,1.75),
  TESTVESICLESASYNC(101,1.75),
  TESTVESICLESASYNC(105,1.75),
  TESTVESICLESASYNC(109,1.75),
  TESTVESICLESASYNC(113,1.75)
) / (J4*F2), 0)</f>
        <v>0</v>
      </c>
      <c r="K7">
        <f ca="1">IFERROR(SUM(
  TESTVESICLESSYNC(1,2),
  TESTVESICLESSYNC(5,2),
  TESTVESICLESSYNC(9,2),
  TESTVESICLESSYNC(13,2),
  TESTVESICLESSYNC(17,2),
  TESTVESICLESSYNC(21,2),
  TESTVESICLESSYNC(25,2),
  TESTVESICLESSYNC(29,2),
  TESTVESICLESSYNC(33,2),
  TESTVESICLESSYNC(37,2),
  TESTVESICLESSYNC(41,2),
  TESTVESICLESSYNC(45,2),
  TESTVESICLESSYNC(49,2),
  TESTVESICLESSYNC(53,2),
  TESTVESICLESSYNC(57,2),
  TESTVESICLESSYNC(61,2),
  TESTVESICLESSYNC(65,2),
  TESTVESICLESSYNC(69,2),
  TESTVESICLESSYNC(73,2),
  TESTVESICLESSYNC(77,2),
  TESTVESICLESSYNC(81,2),
  TESTVESICLESSYNC(85,2),
  TESTVESICLESSYNC(89,2),
  TESTVESICLESSYNC(93,2),
  TESTVESICLESSYNC(97,2),
  TESTVESICLESSYNC(101,2),
  TESTVESICLESSYNC(105,2),
  TESTVESICLESSYNC(109,2),
  TESTVESICLESSYNC(113,2)
) / (K3*F2), 0)</f>
        <v>0</v>
      </c>
      <c r="L7">
        <f ca="1">IFERROR(SUM(
  TESTVESICLESASYNC(1,2.25),
  TESTVESICLESASYNC(5,2.25),
  TESTVESICLESASYNC(9,2.25),
  TESTVESICLESASYNC(13,2.25),
  TESTVESICLESASYNC(17,2.25),
  TESTVESICLESASYNC(21,2.25),
  TESTVESICLESASYNC(25,2.25),
  TESTVESICLESASYNC(29,2.25),
  TESTVESICLESASYNC(33,2.25),
  TESTVESICLESASYNC(37,2.25),
  TESTVESICLESASYNC(41,2.25),
  TESTVESICLESASYNC(45,2.25),
  TESTVESICLESASYNC(49,2.25),
  TESTVESICLESASYNC(53,2.25),
  TESTVESICLESASYNC(57,2.25),
  TESTVESICLESASYNC(61,2.25),
  TESTVESICLESASYNC(65,2.25),
  TESTVESICLESASYNC(69,2.25),
  TESTVESICLESASYNC(73,2.25),
  TESTVESICLESASYNC(77,2.25),
  TESTVESICLESASYNC(81,2.25),
  TESTVESICLESASYNC(85,2.25),
  TESTVESICLESASYNC(89,2.25),
  TESTVESICLESASYNC(93,2.25),
  TESTVESICLESASYNC(97,2.25),
  TESTVESICLESASYNC(101,2.25),
  TESTVESICLESASYNC(105,2.25),
  TESTVESICLESASYNC(109,2.25),
  TESTVESICLESASYNC(113,2.25)
) / (L4*F2), 0)</f>
        <v>0</v>
      </c>
      <c r="M7">
        <f ca="1">IFERROR(SUM(
  TESTVESICLESSYNC(1,2.5),
  TESTVESICLESSYNC(5,2.5),
  TESTVESICLESSYNC(9,2.5),
  TESTVESICLESSYNC(13,2.5),
  TESTVESICLESSYNC(17,2.5),
  TESTVESICLESSYNC(21,2.5),
  TESTVESICLESSYNC(25,2.5),
  TESTVESICLESSYNC(29,2.5),
  TESTVESICLESSYNC(33,2.5),
  TESTVESICLESSYNC(37,2.5),
  TESTVESICLESSYNC(41,2.5),
  TESTVESICLESSYNC(45,2.5),
  TESTVESICLESSYNC(49,2.5),
  TESTVESICLESSYNC(53,2.5),
  TESTVESICLESSYNC(57,2.5),
  TESTVESICLESSYNC(61,2.5),
  TESTVESICLESSYNC(65,2.5),
  TESTVESICLESSYNC(69,2.5),
  TESTVESICLESSYNC(73,2.5),
  TESTVESICLESSYNC(77,2.5),
  TESTVESICLESSYNC(81,2.5),
  TESTVESICLESSYNC(85,2.5),
  TESTVESICLESSYNC(89,2.5),
  TESTVESICLESSYNC(93,2.5),
  TESTVESICLESSYNC(97,2.5),
  TESTVESICLESSYNC(101,2.5),
  TESTVESICLESSYNC(105,2.5),
  TESTVESICLESSYNC(109,2.5),
  TESTVESICLESSYNC(113,2.5)
) / (M3*F2), 0)</f>
        <v>0</v>
      </c>
      <c r="N7">
        <f ca="1">IFERROR(SUM(
  TESTVESICLESASYNC(1,2.75),
  TESTVESICLESASYNC(5,2.75),
  TESTVESICLESASYNC(9,2.75),
  TESTVESICLESASYNC(13,2.75),
  TESTVESICLESASYNC(17,2.75),
  TESTVESICLESASYNC(21,2.75),
  TESTVESICLESASYNC(25,2.75),
  TESTVESICLESASYNC(29,2.75),
  TESTVESICLESASYNC(33,2.75),
  TESTVESICLESASYNC(37,2.75),
  TESTVESICLESASYNC(41,2.75),
  TESTVESICLESASYNC(45,2.75),
  TESTVESICLESASYNC(49,2.75),
  TESTVESICLESASYNC(53,2.75),
  TESTVESICLESASYNC(57,2.75),
  TESTVESICLESASYNC(61,2.75),
  TESTVESICLESASYNC(65,2.75),
  TESTVESICLESASYNC(69,2.75),
  TESTVESICLESASYNC(73,2.75),
  TESTVESICLESASYNC(77,2.75),
  TESTVESICLESASYNC(81,2.75),
  TESTVESICLESASYNC(85,2.75),
  TESTVESICLESASYNC(89,2.75),
  TESTVESICLESASYNC(93,2.75),
  TESTVESICLESASYNC(97,2.75),
  TESTVESICLESASYNC(101,2.75),
  TESTVESICLESASYNC(105,2.75),
  TESTVESICLESASYNC(109,2.75),
  TESTVESICLESASYNC(113,2.75)
) / (N4*F2), 0)</f>
        <v>0</v>
      </c>
      <c r="O7">
        <f ca="1">IFERROR(SUM(
  TESTVESICLESSYNC(1,3),
  TESTVESICLESSYNC(5,3),
  TESTVESICLESSYNC(9,3),
  TESTVESICLESSYNC(13,3),
  TESTVESICLESSYNC(17,3),
  TESTVESICLESSYNC(21,3),
  TESTVESICLESSYNC(25,3),
  TESTVESICLESSYNC(29,3),
  TESTVESICLESSYNC(33,3),
  TESTVESICLESSYNC(37,3),
  TESTVESICLESSYNC(41,3),
  TESTVESICLESSYNC(45,3),
  TESTVESICLESSYNC(49,3),
  TESTVESICLESSYNC(53,3),
  TESTVESICLESSYNC(57,3),
  TESTVESICLESSYNC(61,3),
  TESTVESICLESSYNC(65,3),
  TESTVESICLESSYNC(69,3),
  TESTVESICLESSYNC(73,3),
  TESTVESICLESSYNC(77,3),
  TESTVESICLESSYNC(81,3),
  TESTVESICLESSYNC(85,3),
  TESTVESICLESSYNC(89,3),
  TESTVESICLESSYNC(93,3),
  TESTVESICLESSYNC(97,3),
  TESTVESICLESSYNC(101,3),
  TESTVESICLESSYNC(105,3),
  TESTVESICLESSYNC(109,3),
  TESTVESICLESSYNC(113,3)
) / (O3*F2), 0)</f>
        <v>0</v>
      </c>
      <c r="P7">
        <f ca="1">IFERROR(SUM(
  TESTVESICLESASYNC(1,3.25),
  TESTVESICLESASYNC(5,3.25),
  TESTVESICLESASYNC(9,3.25),
  TESTVESICLESASYNC(13,3.25),
  TESTVESICLESASYNC(17,3.25),
  TESTVESICLESASYNC(21,3.25),
  TESTVESICLESASYNC(25,3.25),
  TESTVESICLESASYNC(29,3.25),
  TESTVESICLESASYNC(33,3.25),
  TESTVESICLESASYNC(37,3.25),
  TESTVESICLESASYNC(41,3.25),
  TESTVESICLESASYNC(45,3.25),
  TESTVESICLESASYNC(49,3.25),
  TESTVESICLESASYNC(53,3.25),
  TESTVESICLESASYNC(57,3.25),
  TESTVESICLESASYNC(61,3.25),
  TESTVESICLESASYNC(65,3.25),
  TESTVESICLESASYNC(69,3.25),
  TESTVESICLESASYNC(73,3.25),
  TESTVESICLESASYNC(77,3.25),
  TESTVESICLESASYNC(81,3.25),
  TESTVESICLESASYNC(85,3.25),
  TESTVESICLESASYNC(89,3.25),
  TESTVESICLESASYNC(93,3.25),
  TESTVESICLESASYNC(97,3.25),
  TESTVESICLESASYNC(101,3.25),
  TESTVESICLESASYNC(105,3.25),
  TESTVESICLESASYNC(109,3.25),
  TESTVESICLESASYNC(113,3.25)
) / (P4*F2), 0)</f>
        <v>0</v>
      </c>
      <c r="Q7">
        <f ca="1">IFERROR(SUM(
  TESTVESICLESSYNC(1,3.5),
  TESTVESICLESSYNC(5,3.5),
  TESTVESICLESSYNC(9,3.5),
  TESTVESICLESSYNC(13,3.5),
  TESTVESICLESSYNC(17,3.5),
  TESTVESICLESSYNC(21,3.5),
  TESTVESICLESSYNC(25,3.5),
  TESTVESICLESSYNC(29,3.5),
  TESTVESICLESSYNC(33,3.5),
  TESTVESICLESSYNC(37,3.5),
  TESTVESICLESSYNC(41,3.5),
  TESTVESICLESSYNC(45,3.5),
  TESTVESICLESSYNC(49,3.5),
  TESTVESICLESSYNC(53,3.5),
  TESTVESICLESSYNC(57,3.5),
  TESTVESICLESSYNC(61,3.5),
  TESTVESICLESSYNC(65,3.5),
  TESTVESICLESSYNC(69,3.5),
  TESTVESICLESSYNC(73,3.5),
  TESTVESICLESSYNC(77,3.5),
  TESTVESICLESSYNC(81,3.5),
  TESTVESICLESSYNC(85,3.5),
  TESTVESICLESSYNC(89,3.5),
  TESTVESICLESSYNC(93,3.5),
  TESTVESICLESSYNC(97,3.5),
  TESTVESICLESSYNC(101,3.5),
  TESTVESICLESSYNC(105,3.5),
  TESTVESICLESSYNC(109,3.5),
  TESTVESICLESSYNC(113,3.5)
) / (Q3*F2), 0)</f>
        <v>0</v>
      </c>
      <c r="R7">
        <f ca="1">IFERROR(SUM(
  TESTVESICLESASYNC(1,3.75),
  TESTVESICLESASYNC(5,3.75),
  TESTVESICLESASYNC(9,3.75),
  TESTVESICLESASYNC(13,3.75),
  TESTVESICLESASYNC(17,3.75),
  TESTVESICLESASYNC(21,3.75),
  TESTVESICLESASYNC(25,3.75),
  TESTVESICLESASYNC(29,3.75),
  TESTVESICLESASYNC(33,3.75),
  TESTVESICLESASYNC(37,3.75),
  TESTVESICLESASYNC(41,3.75),
  TESTVESICLESASYNC(45,3.75),
  TESTVESICLESASYNC(49,3.75),
  TESTVESICLESASYNC(53,3.75),
  TESTVESICLESASYNC(57,3.75),
  TESTVESICLESASYNC(61,3.75),
  TESTVESICLESASYNC(65,3.75),
  TESTVESICLESASYNC(69,3.75),
  TESTVESICLESASYNC(73,3.75),
  TESTVESICLESASYNC(77,3.75),
  TESTVESICLESASYNC(81,3.75),
  TESTVESICLESASYNC(85,3.75),
  TESTVESICLESASYNC(89,3.75),
  TESTVESICLESASYNC(93,3.75),
  TESTVESICLESASYNC(97,3.75),
  TESTVESICLESASYNC(101,3.75),
  TESTVESICLESASYNC(105,3.75),
  TESTVESICLESASYNC(109,3.75),
  TESTVESICLESASYNC(113,3.75)
) / (R4*F2), 0)</f>
        <v>0</v>
      </c>
      <c r="S7">
        <f ca="1">IFERROR(SUM(
  TESTVESICLESSYNC(1,4),
  TESTVESICLESSYNC(5,4),
  TESTVESICLESSYNC(9,4),
  TESTVESICLESSYNC(13,4),
  TESTVESICLESSYNC(17,4),
  TESTVESICLESSYNC(21,4),
  TESTVESICLESSYNC(25,4),
  TESTVESICLESSYNC(29,4),
  TESTVESICLESSYNC(33,4),
  TESTVESICLESSYNC(37,4),
  TESTVESICLESSYNC(41,4),
  TESTVESICLESSYNC(45,4),
  TESTVESICLESSYNC(49,4),
  TESTVESICLESSYNC(53,4),
  TESTVESICLESSYNC(57,4),
  TESTVESICLESSYNC(61,4),
  TESTVESICLESSYNC(65,4),
  TESTVESICLESSYNC(69,4),
  TESTVESICLESSYNC(73,4),
  TESTVESICLESSYNC(77,4),
  TESTVESICLESSYNC(81,4),
  TESTVESICLESSYNC(85,4),
  TESTVESICLESSYNC(89,4),
  TESTVESICLESSYNC(93,4),
  TESTVESICLESSYNC(97,4),
  TESTVESICLESSYNC(101,4),
  TESTVESICLESSYNC(105,4),
  TESTVESICLESSYNC(109,4),
  TESTVESICLESSYNC(113,4)
) / (S3*F2), 0)</f>
        <v>0</v>
      </c>
      <c r="T7">
        <f ca="1">IFERROR(SUM(
  TESTVESICLESASYNC(1,4.25),
  TESTVESICLESASYNC(5,4.25),
  TESTVESICLESASYNC(9,4.25),
  TESTVESICLESASYNC(13,4.25),
  TESTVESICLESASYNC(17,4.25),
  TESTVESICLESASYNC(21,4.25),
  TESTVESICLESASYNC(25,4.25),
  TESTVESICLESASYNC(29,4.25),
  TESTVESICLESASYNC(33,4.25),
  TESTVESICLESASYNC(37,4.25),
  TESTVESICLESASYNC(41,4.25),
  TESTVESICLESASYNC(45,4.25),
  TESTVESICLESASYNC(49,4.25),
  TESTVESICLESASYNC(53,4.25),
  TESTVESICLESASYNC(57,4.25),
  TESTVESICLESASYNC(61,4.25),
  TESTVESICLESASYNC(65,4.25),
  TESTVESICLESASYNC(69,4.25),
  TESTVESICLESASYNC(73,4.25),
  TESTVESICLESASYNC(77,4.25),
  TESTVESICLESASYNC(81,4.25),
  TESTVESICLESASYNC(85,4.25),
  TESTVESICLESASYNC(89,4.25),
  TESTVESICLESASYNC(93,4.25),
  TESTVESICLESASYNC(97,4.25),
  TESTVESICLESASYNC(101,4.25),
  TESTVESICLESASYNC(105,4.25),
  TESTVESICLESASYNC(109,4.25),
  TESTVESICLESASYNC(113,4.25)
) / (T4*F2), 0)</f>
        <v>0</v>
      </c>
      <c r="U7">
        <f ca="1">IFERROR(SUM(
  TESTVESICLESSYNC(1,4.5),
  TESTVESICLESSYNC(5,4.5),
  TESTVESICLESSYNC(9,4.5),
  TESTVESICLESSYNC(13,4.5),
  TESTVESICLESSYNC(17,4.5),
  TESTVESICLESSYNC(21,4.5),
  TESTVESICLESSYNC(25,4.5),
  TESTVESICLESSYNC(29,4.5),
  TESTVESICLESSYNC(33,4.5),
  TESTVESICLESSYNC(37,4.5),
  TESTVESICLESSYNC(41,4.5),
  TESTVESICLESSYNC(45,4.5),
  TESTVESICLESSYNC(49,4.5),
  TESTVESICLESSYNC(53,4.5),
  TESTVESICLESSYNC(57,4.5),
  TESTVESICLESSYNC(61,4.5),
  TESTVESICLESSYNC(65,4.5),
  TESTVESICLESSYNC(69,4.5),
  TESTVESICLESSYNC(73,4.5),
  TESTVESICLESSYNC(77,4.5),
  TESTVESICLESSYNC(81,4.5),
  TESTVESICLESSYNC(85,4.5),
  TESTVESICLESSYNC(89,4.5),
  TESTVESICLESSYNC(93,4.5),
  TESTVESICLESSYNC(97,4.5),
  TESTVESICLESSYNC(101,4.5),
  TESTVESICLESSYNC(105,4.5),
  TESTVESICLESSYNC(109,4.5),
  TESTVESICLESSYNC(113,4.5)
) / (U3*F2), 0)</f>
        <v>0</v>
      </c>
      <c r="V7">
        <f ca="1">IFERROR(SUM(
  TESTVESICLESASYNC(1,4.75),
  TESTVESICLESASYNC(5,4.75),
  TESTVESICLESASYNC(9,4.75),
  TESTVESICLESASYNC(13,4.75),
  TESTVESICLESASYNC(17,4.75),
  TESTVESICLESASYNC(21,4.75),
  TESTVESICLESASYNC(25,4.75),
  TESTVESICLESASYNC(29,4.75),
  TESTVESICLESASYNC(33,4.75),
  TESTVESICLESASYNC(37,4.75),
  TESTVESICLESASYNC(41,4.75),
  TESTVESICLESASYNC(45,4.75),
  TESTVESICLESASYNC(49,4.75),
  TESTVESICLESASYNC(53,4.75),
  TESTVESICLESASYNC(57,4.75),
  TESTVESICLESASYNC(61,4.75),
  TESTVESICLESASYNC(65,4.75),
  TESTVESICLESASYNC(69,4.75),
  TESTVESICLESASYNC(73,4.75),
  TESTVESICLESASYNC(77,4.75),
  TESTVESICLESASYNC(81,4.75),
  TESTVESICLESASYNC(85,4.75),
  TESTVESICLESASYNC(89,4.75),
  TESTVESICLESASYNC(93,4.75),
  TESTVESICLESASYNC(97,4.75),
  TESTVESICLESASYNC(101,4.75),
  TESTVESICLESASYNC(105,4.75),
  TESTVESICLESASYNC(109,4.75),
  TESTVESICLESASYNC(113,4.75)
) / (V4*F2), 0)</f>
        <v>0</v>
      </c>
      <c r="W7">
        <f ca="1">IFERROR(SUM(
  TESTVESICLESSYNC(1,5),
  TESTVESICLESSYNC(5,5),
  TESTVESICLESSYNC(9,5),
  TESTVESICLESSYNC(13,5),
  TESTVESICLESSYNC(17,5),
  TESTVESICLESSYNC(21,5),
  TESTVESICLESSYNC(25,5),
  TESTVESICLESSYNC(29,5),
  TESTVESICLESSYNC(33,5),
  TESTVESICLESSYNC(37,5),
  TESTVESICLESSYNC(41,5),
  TESTVESICLESSYNC(45,5),
  TESTVESICLESSYNC(49,5),
  TESTVESICLESSYNC(53,5),
  TESTVESICLESSYNC(57,5),
  TESTVESICLESSYNC(61,5),
  TESTVESICLESSYNC(65,5),
  TESTVESICLESSYNC(69,5),
  TESTVESICLESSYNC(73,5),
  TESTVESICLESSYNC(77,5),
  TESTVESICLESSYNC(81,5),
  TESTVESICLESSYNC(85,5),
  TESTVESICLESSYNC(89,5),
  TESTVESICLESSYNC(93,5),
  TESTVESICLESSYNC(97,5),
  TESTVESICLESSYNC(101,5),
  TESTVESICLESSYNC(105,5),
  TESTVESICLESSYNC(109,5),
  TESTVESICLESSYNC(113,5)
) / (W3*F2), 0)</f>
        <v>0</v>
      </c>
      <c r="X7">
        <f ca="1">IFERROR(SUM(
  TESTVESICLESASYNC(1,5.25),
  TESTVESICLESASYNC(5,5.25),
  TESTVESICLESASYNC(9,5.25),
  TESTVESICLESASYNC(13,5.25),
  TESTVESICLESASYNC(17,5.25),
  TESTVESICLESASYNC(21,5.25),
  TESTVESICLESASYNC(25,5.25),
  TESTVESICLESASYNC(29,5.25),
  TESTVESICLESASYNC(33,5.25),
  TESTVESICLESASYNC(37,5.25),
  TESTVESICLESASYNC(41,5.25),
  TESTVESICLESASYNC(45,5.25),
  TESTVESICLESASYNC(49,5.25),
  TESTVESICLESASYNC(53,5.25),
  TESTVESICLESASYNC(57,5.25),
  TESTVESICLESASYNC(61,5.25),
  TESTVESICLESASYNC(65,5.25),
  TESTVESICLESASYNC(69,5.25),
  TESTVESICLESASYNC(73,5.25),
  TESTVESICLESASYNC(77,5.25),
  TESTVESICLESASYNC(81,5.25),
  TESTVESICLESASYNC(85,5.25),
  TESTVESICLESASYNC(89,5.25),
  TESTVESICLESASYNC(93,5.25),
  TESTVESICLESASYNC(97,5.25),
  TESTVESICLESASYNC(101,5.25),
  TESTVESICLESASYNC(105,5.25),
  TESTVESICLESASYNC(109,5.25),
  TESTVESICLESASYNC(113,5.25)
) / (X4*F2), 0)</f>
        <v>0</v>
      </c>
      <c r="Y7">
        <f ca="1">IFERROR(SUM(
  TESTVESICLESSYNC(1,5.5),
  TESTVESICLESSYNC(5,5.5),
  TESTVESICLESSYNC(9,5.5),
  TESTVESICLESSYNC(13,5.5),
  TESTVESICLESSYNC(17,5.5),
  TESTVESICLESSYNC(21,5.5),
  TESTVESICLESSYNC(25,5.5),
  TESTVESICLESSYNC(29,5.5),
  TESTVESICLESSYNC(33,5.5),
  TESTVESICLESSYNC(37,5.5),
  TESTVESICLESSYNC(41,5.5),
  TESTVESICLESSYNC(45,5.5),
  TESTVESICLESSYNC(49,5.5),
  TESTVESICLESSYNC(53,5.5),
  TESTVESICLESSYNC(57,5.5),
  TESTVESICLESSYNC(61,5.5),
  TESTVESICLESSYNC(65,5.5),
  TESTVESICLESSYNC(69,5.5),
  TESTVESICLESSYNC(73,5.5),
  TESTVESICLESSYNC(77,5.5),
  TESTVESICLESSYNC(81,5.5),
  TESTVESICLESSYNC(85,5.5),
  TESTVESICLESSYNC(89,5.5),
  TESTVESICLESSYNC(93,5.5),
  TESTVESICLESSYNC(97,5.5),
  TESTVESICLESSYNC(101,5.5),
  TESTVESICLESSYNC(105,5.5),
  TESTVESICLESSYNC(109,5.5),
  TESTVESICLESSYNC(113,5.5)
) / (Y3*F2), 0)</f>
        <v>0</v>
      </c>
      <c r="Z7">
        <f ca="1">IFERROR(SUM(
  TESTVESICLESASYNC(1,5.75),
  TESTVESICLESASYNC(5,5.75),
  TESTVESICLESASYNC(9,5.75),
  TESTVESICLESASYNC(13,5.75),
  TESTVESICLESASYNC(17,5.75),
  TESTVESICLESASYNC(21,5.75),
  TESTVESICLESASYNC(25,5.75),
  TESTVESICLESASYNC(29,5.75),
  TESTVESICLESASYNC(33,5.75),
  TESTVESICLESASYNC(37,5.75),
  TESTVESICLESASYNC(41,5.75),
  TESTVESICLESASYNC(45,5.75),
  TESTVESICLESASYNC(49,5.75),
  TESTVESICLESASYNC(53,5.75),
  TESTVESICLESASYNC(57,5.75),
  TESTVESICLESASYNC(61,5.75),
  TESTVESICLESASYNC(65,5.75),
  TESTVESICLESASYNC(69,5.75),
  TESTVESICLESASYNC(73,5.75),
  TESTVESICLESASYNC(77,5.75),
  TESTVESICLESASYNC(81,5.75),
  TESTVESICLESASYNC(85,5.75),
  TESTVESICLESASYNC(89,5.75),
  TESTVESICLESASYNC(93,5.75),
  TESTVESICLESASYNC(97,5.75),
  TESTVESICLESASYNC(101,5.75),
  TESTVESICLESASYNC(105,5.75),
  TESTVESICLESASYNC(109,5.75),
  TESTVESICLESASYNC(113,5.75)
) / (Z4*F2), 0)</f>
        <v>0</v>
      </c>
      <c r="AA7">
        <f ca="1">IFERROR(SUM(
  TESTVESICLESSPON(1,6),
  TESTVESICLESSPON(5,6),
  TESTVESICLESSPON(9,6),
  TESTVESICLESSPON(13,6),
  TESTVESICLESSPON(17,6),
  TESTVESICLESSPON(21,6),
  TESTVESICLESSPON(25,6),
  TESTVESICLESSPON(29,6),
  TESTVESICLESSPON(33,6),
  TESTVESICLESSPON(37,6),
  TESTVESICLESSPON(41,6),
  TESTVESICLESSPON(45,6),
  TESTVESICLESSPON(49,6),
  TESTVESICLESSPON(53,6),
  TESTVESICLESSPON(57,6),
  TESTVESICLESSPON(61,6),
  TESTVESICLESSPON(65,6),
  TESTVESICLESSPON(69,6),
  TESTVESICLESSPON(73,6),
  TESTVESICLESSPON(77,6),
  TESTVESICLESSPON(81,6),
  TESTVESICLESSPON(85,6),
  TESTVESICLESSPON(89,6),
  TESTVESICLESSPON(93,6),
  TESTVESICLESSPON(97,6),
  TESTVESICLESSPON(101,6),
  TESTVESICLESSPON(105,6),
  TESTVESICLESSPON(109,6),
  TESTVESICLESSPON(113,6)
) / (AA5*F2), 0)</f>
        <v>0</v>
      </c>
    </row>
    <row r="8" spans="1:29" x14ac:dyDescent="0.3">
      <c r="B8" s="2">
        <f t="shared" si="0"/>
        <v>0.6</v>
      </c>
      <c r="C8" s="2">
        <v>0</v>
      </c>
    </row>
    <row r="9" spans="1:29" x14ac:dyDescent="0.3">
      <c r="B9" s="2">
        <f t="shared" si="0"/>
        <v>0.7</v>
      </c>
      <c r="C9" s="2">
        <v>0</v>
      </c>
    </row>
    <row r="10" spans="1:29" x14ac:dyDescent="0.3">
      <c r="B10" s="2">
        <f t="shared" si="0"/>
        <v>0.79999999999999993</v>
      </c>
      <c r="C10" s="2">
        <v>0</v>
      </c>
    </row>
    <row r="11" spans="1:29" x14ac:dyDescent="0.3">
      <c r="B11" s="2">
        <f t="shared" si="0"/>
        <v>0.89999999999999991</v>
      </c>
      <c r="C11" s="2">
        <v>0</v>
      </c>
    </row>
    <row r="12" spans="1:29" x14ac:dyDescent="0.3">
      <c r="B12" s="2">
        <f t="shared" si="0"/>
        <v>0.99999999999999989</v>
      </c>
      <c r="C12" s="2">
        <v>0</v>
      </c>
    </row>
    <row r="13" spans="1:29" x14ac:dyDescent="0.3">
      <c r="B13" s="2">
        <f t="shared" si="0"/>
        <v>1.0999999999999999</v>
      </c>
      <c r="C13" s="2">
        <v>0</v>
      </c>
    </row>
    <row r="14" spans="1:29" x14ac:dyDescent="0.3">
      <c r="B14" s="2">
        <f t="shared" si="0"/>
        <v>1.2</v>
      </c>
      <c r="C14" s="2">
        <v>0</v>
      </c>
    </row>
    <row r="15" spans="1:29" x14ac:dyDescent="0.3">
      <c r="B15" s="2">
        <f t="shared" si="0"/>
        <v>1.3</v>
      </c>
      <c r="C15" s="2">
        <v>0</v>
      </c>
    </row>
    <row r="16" spans="1:29" x14ac:dyDescent="0.3">
      <c r="B16" s="2">
        <f t="shared" si="0"/>
        <v>1.4000000000000001</v>
      </c>
      <c r="C16" s="2">
        <v>0</v>
      </c>
    </row>
    <row r="17" spans="2:24" x14ac:dyDescent="0.3">
      <c r="B17" s="2">
        <f t="shared" si="0"/>
        <v>1.5000000000000002</v>
      </c>
      <c r="C17" s="2">
        <v>0</v>
      </c>
    </row>
    <row r="18" spans="2:24" x14ac:dyDescent="0.3">
      <c r="B18" s="2">
        <f t="shared" si="0"/>
        <v>1.6000000000000003</v>
      </c>
      <c r="C18" s="2">
        <v>0</v>
      </c>
    </row>
    <row r="19" spans="2:24" x14ac:dyDescent="0.3">
      <c r="B19" s="19">
        <f t="shared" si="0"/>
        <v>1.7000000000000004</v>
      </c>
      <c r="C19" s="2">
        <v>0</v>
      </c>
    </row>
    <row r="20" spans="2:24" x14ac:dyDescent="0.3">
      <c r="B20" s="19">
        <f t="shared" si="0"/>
        <v>1.8000000000000005</v>
      </c>
      <c r="C20" s="2">
        <v>0</v>
      </c>
      <c r="F20" s="10" t="s">
        <v>22</v>
      </c>
      <c r="G20" s="10" t="s">
        <v>23</v>
      </c>
      <c r="U20" s="13"/>
      <c r="V20" s="13"/>
    </row>
    <row r="21" spans="2:24" x14ac:dyDescent="0.3">
      <c r="B21" s="19">
        <f t="shared" si="0"/>
        <v>1.9000000000000006</v>
      </c>
      <c r="C21" s="2">
        <v>0</v>
      </c>
      <c r="F21">
        <v>0</v>
      </c>
      <c r="G21" s="2">
        <v>0</v>
      </c>
      <c r="U21" s="13" t="s">
        <v>27</v>
      </c>
      <c r="V21" s="13" t="s">
        <v>26</v>
      </c>
      <c r="W21" s="13" t="s">
        <v>28</v>
      </c>
      <c r="X21" s="13" t="s">
        <v>4</v>
      </c>
    </row>
    <row r="22" spans="2:24" x14ac:dyDescent="0.3">
      <c r="B22" s="19">
        <f t="shared" si="0"/>
        <v>2.0000000000000004</v>
      </c>
      <c r="C22" s="2">
        <v>0</v>
      </c>
      <c r="F22">
        <v>0.1</v>
      </c>
      <c r="G22" s="2">
        <v>0</v>
      </c>
      <c r="U22" t="s">
        <v>15</v>
      </c>
      <c r="V22" s="23">
        <f ca="1">AVERAGE(G3, I3, K3, M3,O3, Q3,S3, U3, W3, Y3)</f>
        <v>0</v>
      </c>
      <c r="W22">
        <f ca="1">IFERROR(SUM(G6, I6, K6, M6, O6, Q6, S6, U6, W6, Y6) /
(SIGN(G6&lt;&gt;0) + SIGN(I6&lt;&gt;0) + SIGN(K6&lt;&gt;0) + SIGN(M6&lt;&gt;0) + SIGN(O6&lt;&gt;0) + SIGN(Q6&lt;&gt;0) + SIGN(S6&lt;&gt;0) + SIGN(U6&lt;&gt;0) + SIGN(W6&lt;&gt;0) + SIGN(Y6&lt;&gt;0)), 0)</f>
        <v>0</v>
      </c>
      <c r="X22">
        <f ca="1">IFERROR(SUM(G7, I7, K7, M7, O7, Q7, S7, U7, W7, Y7) /
(SIGN(G7&lt;&gt;0) + SIGN(I7&lt;&gt;0) + SIGN(K7&lt;&gt;0) + SIGN(M7&lt;&gt;0) + SIGN(O7&lt;&gt;0) + SIGN(Q7&lt;&gt;0) + SIGN(S7&lt;&gt;0) + SIGN(U7&lt;&gt;0) + SIGN(W7&lt;&gt;0) + SIGN(Y7&lt;&gt;0)), 0)</f>
        <v>0</v>
      </c>
    </row>
    <row r="23" spans="2:24" x14ac:dyDescent="0.3">
      <c r="B23" s="19">
        <f t="shared" si="0"/>
        <v>2.1000000000000005</v>
      </c>
      <c r="C23" s="2">
        <v>0</v>
      </c>
      <c r="F23">
        <v>0.2</v>
      </c>
      <c r="G23" s="2">
        <v>0</v>
      </c>
      <c r="U23" t="s">
        <v>1</v>
      </c>
      <c r="V23" s="23">
        <f ca="1">AVERAGE(H4,J4,L4,N4,P4,R4,T4,V4,X4,Z4)</f>
        <v>0</v>
      </c>
      <c r="W23">
        <f ca="1">IFERROR(SUM(H6, J6, L6, N6, P6, R6, T6, V6, X6, Z6) /
(SIGN(H6&lt;&gt;0) + SIGN(J6&lt;&gt;0) + SIGN(L6&lt;&gt;0) + SIGN(N6&lt;&gt;0) + SIGN(P6&lt;&gt;0) + SIGN(R6&lt;&gt;0) + SIGN(T6&lt;&gt;0) + SIGN(V6&lt;&gt;0) + SIGN(X6&lt;&gt;0) + SIGN(Z6&lt;&gt;0)), 0)</f>
        <v>0</v>
      </c>
      <c r="X23">
        <f ca="1">IFERROR(SUM(H7, J7, L7, N7, P7, R7, T7, V7, X7, Z7) /
(SIGN(H7&lt;&gt;0) + SIGN(J7&lt;&gt;0) + SIGN(L7&lt;&gt;0) + SIGN(N7&lt;&gt;0) + SIGN(P7&lt;&gt;0) + SIGN(R7&lt;&gt;0) + SIGN(T7&lt;&gt;0) + SIGN(V7&lt;&gt;0) + SIGN(X7&lt;&gt;0) + SIGN(Z7&lt;&gt;0)), 0)</f>
        <v>0</v>
      </c>
    </row>
    <row r="24" spans="2:24" x14ac:dyDescent="0.3">
      <c r="B24" s="19">
        <f t="shared" si="0"/>
        <v>2.2000000000000006</v>
      </c>
      <c r="C24" s="2">
        <v>0</v>
      </c>
      <c r="F24">
        <v>0.30000000000000004</v>
      </c>
      <c r="G24" s="2">
        <v>0</v>
      </c>
      <c r="U24" t="s">
        <v>6</v>
      </c>
      <c r="V24" s="23">
        <f ca="1">AA5</f>
        <v>0</v>
      </c>
      <c r="W24">
        <f ca="1">AA6</f>
        <v>0</v>
      </c>
      <c r="X24">
        <f ca="1">AA7</f>
        <v>0</v>
      </c>
    </row>
    <row r="25" spans="2:24" x14ac:dyDescent="0.3">
      <c r="B25" s="19">
        <f t="shared" si="0"/>
        <v>2.3000000000000007</v>
      </c>
      <c r="C25" s="2">
        <v>0</v>
      </c>
      <c r="F25">
        <v>0.4</v>
      </c>
      <c r="G25" s="2">
        <v>0</v>
      </c>
    </row>
    <row r="26" spans="2:24" x14ac:dyDescent="0.3">
      <c r="B26" s="2">
        <f t="shared" si="0"/>
        <v>2.4000000000000008</v>
      </c>
      <c r="C26" s="2">
        <v>0</v>
      </c>
      <c r="F26">
        <v>0.5</v>
      </c>
      <c r="G26" s="2">
        <v>0</v>
      </c>
    </row>
    <row r="27" spans="2:24" x14ac:dyDescent="0.3">
      <c r="B27" s="2">
        <f t="shared" si="0"/>
        <v>2.5000000000000009</v>
      </c>
      <c r="C27" s="2">
        <v>0</v>
      </c>
      <c r="F27">
        <v>0.6</v>
      </c>
      <c r="G27" s="2">
        <v>0</v>
      </c>
    </row>
    <row r="28" spans="2:24" x14ac:dyDescent="0.3">
      <c r="B28" s="2">
        <f t="shared" si="0"/>
        <v>2.600000000000001</v>
      </c>
      <c r="C28" s="2">
        <v>0</v>
      </c>
      <c r="F28">
        <v>0.7</v>
      </c>
      <c r="G28" s="2">
        <v>0</v>
      </c>
    </row>
    <row r="29" spans="2:24" x14ac:dyDescent="0.3">
      <c r="B29" s="19">
        <f t="shared" si="0"/>
        <v>2.7000000000000011</v>
      </c>
      <c r="C29" s="2">
        <v>0</v>
      </c>
      <c r="F29">
        <v>0.79999999999999993</v>
      </c>
      <c r="G29" s="2">
        <v>0</v>
      </c>
    </row>
    <row r="30" spans="2:24" x14ac:dyDescent="0.3">
      <c r="B30" s="19">
        <f t="shared" si="0"/>
        <v>2.8000000000000012</v>
      </c>
      <c r="C30" s="2">
        <v>0</v>
      </c>
      <c r="F30">
        <v>0.89999999999999991</v>
      </c>
      <c r="G30" s="2">
        <v>0</v>
      </c>
    </row>
    <row r="31" spans="2:24" x14ac:dyDescent="0.3">
      <c r="B31" s="19">
        <f t="shared" si="0"/>
        <v>2.9000000000000012</v>
      </c>
      <c r="C31" s="2">
        <v>0</v>
      </c>
      <c r="F31">
        <v>0.99999999999999989</v>
      </c>
      <c r="G31" s="2">
        <v>0</v>
      </c>
    </row>
    <row r="32" spans="2:24" x14ac:dyDescent="0.3">
      <c r="B32" s="19">
        <f t="shared" si="0"/>
        <v>3.0000000000000013</v>
      </c>
      <c r="C32" s="2">
        <v>0</v>
      </c>
      <c r="F32">
        <v>1.0999999999999999</v>
      </c>
      <c r="G32" s="2">
        <v>0</v>
      </c>
    </row>
    <row r="33" spans="2:27" x14ac:dyDescent="0.3">
      <c r="B33" s="19">
        <f t="shared" si="0"/>
        <v>3.1000000000000014</v>
      </c>
      <c r="C33" s="2">
        <v>0</v>
      </c>
      <c r="F33">
        <v>1.2</v>
      </c>
      <c r="G33" s="2">
        <v>0</v>
      </c>
    </row>
    <row r="34" spans="2:27" x14ac:dyDescent="0.3">
      <c r="B34" s="19">
        <f t="shared" si="0"/>
        <v>3.2000000000000015</v>
      </c>
      <c r="C34" s="2">
        <v>0</v>
      </c>
      <c r="F34">
        <v>1.3</v>
      </c>
      <c r="G34" s="2">
        <v>0</v>
      </c>
    </row>
    <row r="35" spans="2:27" x14ac:dyDescent="0.3">
      <c r="B35" s="19">
        <f t="shared" si="0"/>
        <v>3.3000000000000016</v>
      </c>
      <c r="C35" s="2">
        <v>0</v>
      </c>
      <c r="F35">
        <v>1.4000000000000001</v>
      </c>
      <c r="G35" s="2">
        <v>0</v>
      </c>
    </row>
    <row r="36" spans="2:27" x14ac:dyDescent="0.3">
      <c r="B36" s="2">
        <f t="shared" si="0"/>
        <v>3.4000000000000017</v>
      </c>
      <c r="C36" s="2">
        <v>0</v>
      </c>
      <c r="F36">
        <v>1.5000000000000002</v>
      </c>
      <c r="G36" s="2">
        <v>0</v>
      </c>
    </row>
    <row r="37" spans="2:27" x14ac:dyDescent="0.3">
      <c r="B37" s="2">
        <f t="shared" si="0"/>
        <v>3.5000000000000018</v>
      </c>
      <c r="C37" s="2">
        <v>0</v>
      </c>
      <c r="F37">
        <v>1.6000000000000003</v>
      </c>
      <c r="G37" s="2">
        <v>0</v>
      </c>
    </row>
    <row r="38" spans="2:27" x14ac:dyDescent="0.3">
      <c r="B38" s="2">
        <f t="shared" si="0"/>
        <v>3.6000000000000019</v>
      </c>
      <c r="C38" s="2">
        <v>0</v>
      </c>
      <c r="F38">
        <v>1.7000000000000004</v>
      </c>
      <c r="G38" s="2">
        <f t="shared" ref="G38:G44" si="1">AVERAGE(C19,C29,C39,C49,C59,C69,C79,C89,C99,C109)</f>
        <v>0</v>
      </c>
    </row>
    <row r="39" spans="2:27" x14ac:dyDescent="0.3">
      <c r="B39" s="19">
        <f t="shared" si="0"/>
        <v>3.700000000000002</v>
      </c>
      <c r="C39" s="2">
        <v>0</v>
      </c>
      <c r="F39">
        <v>1.8000000000000005</v>
      </c>
      <c r="G39" s="2">
        <f t="shared" si="1"/>
        <v>0</v>
      </c>
    </row>
    <row r="40" spans="2:27" x14ac:dyDescent="0.3">
      <c r="B40" s="19">
        <f t="shared" si="0"/>
        <v>3.800000000000002</v>
      </c>
      <c r="C40" s="2">
        <v>0</v>
      </c>
      <c r="F40">
        <v>1.9000000000000006</v>
      </c>
      <c r="G40" s="2">
        <f t="shared" si="1"/>
        <v>0</v>
      </c>
    </row>
    <row r="41" spans="2:27" x14ac:dyDescent="0.3">
      <c r="B41" s="19">
        <f t="shared" si="0"/>
        <v>3.9000000000000021</v>
      </c>
      <c r="C41" s="2">
        <v>0</v>
      </c>
      <c r="F41">
        <v>2.0000000000000004</v>
      </c>
      <c r="G41" s="2">
        <f t="shared" si="1"/>
        <v>0</v>
      </c>
    </row>
    <row r="42" spans="2:27" x14ac:dyDescent="0.3">
      <c r="B42" s="19">
        <f t="shared" si="0"/>
        <v>4.0000000000000018</v>
      </c>
      <c r="C42" s="2">
        <v>0</v>
      </c>
      <c r="F42">
        <v>2.1000000000000005</v>
      </c>
      <c r="G42" s="2">
        <f t="shared" si="1"/>
        <v>0</v>
      </c>
      <c r="H42" s="14"/>
      <c r="I42" s="15"/>
      <c r="J42" s="14"/>
      <c r="K42" s="15"/>
      <c r="L42" s="14"/>
      <c r="M42" s="15"/>
      <c r="N42" s="14"/>
      <c r="O42" s="15"/>
      <c r="P42" s="14"/>
      <c r="Q42" s="15"/>
      <c r="R42" s="14"/>
      <c r="S42" s="15"/>
      <c r="T42" s="14"/>
      <c r="U42" s="15"/>
      <c r="V42" s="14"/>
      <c r="W42" s="15"/>
      <c r="X42" s="14"/>
      <c r="Y42" s="15"/>
      <c r="Z42" s="14"/>
      <c r="AA42" s="16"/>
    </row>
    <row r="43" spans="2:27" x14ac:dyDescent="0.3">
      <c r="B43" s="19">
        <f t="shared" si="0"/>
        <v>4.1000000000000014</v>
      </c>
      <c r="C43" s="2">
        <v>0</v>
      </c>
      <c r="F43">
        <v>2.2000000000000006</v>
      </c>
      <c r="G43" s="2">
        <f t="shared" si="1"/>
        <v>0</v>
      </c>
    </row>
    <row r="44" spans="2:27" x14ac:dyDescent="0.3">
      <c r="B44" s="19">
        <f t="shared" si="0"/>
        <v>4.2000000000000011</v>
      </c>
      <c r="C44" s="2">
        <v>0</v>
      </c>
      <c r="F44">
        <v>2.3000000000000007</v>
      </c>
      <c r="G44" s="2">
        <f t="shared" si="1"/>
        <v>0</v>
      </c>
    </row>
    <row r="45" spans="2:27" x14ac:dyDescent="0.3">
      <c r="B45" s="19">
        <f t="shared" si="0"/>
        <v>4.3000000000000007</v>
      </c>
      <c r="C45" s="2">
        <v>0</v>
      </c>
      <c r="F45">
        <v>2.4000000000000008</v>
      </c>
      <c r="G45" s="2">
        <v>0</v>
      </c>
    </row>
    <row r="46" spans="2:27" x14ac:dyDescent="0.3">
      <c r="B46" s="2">
        <f t="shared" si="0"/>
        <v>4.4000000000000004</v>
      </c>
      <c r="C46" s="2">
        <v>0</v>
      </c>
      <c r="F46">
        <v>2.5000000000000009</v>
      </c>
      <c r="G46" s="2">
        <v>0</v>
      </c>
    </row>
    <row r="47" spans="2:27" x14ac:dyDescent="0.3">
      <c r="B47" s="2">
        <f t="shared" si="0"/>
        <v>4.5</v>
      </c>
      <c r="C47" s="2">
        <v>0</v>
      </c>
      <c r="F47">
        <v>2.600000000000001</v>
      </c>
      <c r="G47" s="2">
        <v>0</v>
      </c>
    </row>
    <row r="48" spans="2:27" x14ac:dyDescent="0.3">
      <c r="B48" s="2">
        <f t="shared" si="0"/>
        <v>4.5999999999999996</v>
      </c>
      <c r="C48" s="2">
        <v>0</v>
      </c>
      <c r="F48">
        <v>2.7000000000000011</v>
      </c>
      <c r="G48" s="2">
        <v>0</v>
      </c>
    </row>
    <row r="49" spans="2:3" x14ac:dyDescent="0.3">
      <c r="B49" s="19">
        <f t="shared" si="0"/>
        <v>4.6999999999999993</v>
      </c>
      <c r="C49" s="2">
        <v>0</v>
      </c>
    </row>
    <row r="50" spans="2:3" x14ac:dyDescent="0.3">
      <c r="B50" s="19">
        <f t="shared" si="0"/>
        <v>4.7999999999999989</v>
      </c>
      <c r="C50" s="2">
        <v>0</v>
      </c>
    </row>
    <row r="51" spans="2:3" x14ac:dyDescent="0.3">
      <c r="B51" s="19">
        <f t="shared" si="0"/>
        <v>4.8999999999999986</v>
      </c>
      <c r="C51" s="2">
        <v>0</v>
      </c>
    </row>
    <row r="52" spans="2:3" x14ac:dyDescent="0.3">
      <c r="B52" s="19">
        <f t="shared" si="0"/>
        <v>4.9999999999999982</v>
      </c>
      <c r="C52" s="2">
        <v>0</v>
      </c>
    </row>
    <row r="53" spans="2:3" x14ac:dyDescent="0.3">
      <c r="B53" s="19">
        <f t="shared" si="0"/>
        <v>5.0999999999999979</v>
      </c>
      <c r="C53" s="2">
        <v>0</v>
      </c>
    </row>
    <row r="54" spans="2:3" x14ac:dyDescent="0.3">
      <c r="B54" s="19">
        <f t="shared" si="0"/>
        <v>5.1999999999999975</v>
      </c>
      <c r="C54" s="2">
        <v>0</v>
      </c>
    </row>
    <row r="55" spans="2:3" x14ac:dyDescent="0.3">
      <c r="B55" s="19">
        <f t="shared" si="0"/>
        <v>5.2999999999999972</v>
      </c>
      <c r="C55" s="2">
        <v>0</v>
      </c>
    </row>
    <row r="56" spans="2:3" x14ac:dyDescent="0.3">
      <c r="B56" s="2">
        <f t="shared" si="0"/>
        <v>5.3999999999999968</v>
      </c>
      <c r="C56" s="2">
        <v>0</v>
      </c>
    </row>
    <row r="57" spans="2:3" x14ac:dyDescent="0.3">
      <c r="B57" s="2">
        <f t="shared" si="0"/>
        <v>5.4999999999999964</v>
      </c>
      <c r="C57" s="2">
        <v>0</v>
      </c>
    </row>
    <row r="58" spans="2:3" x14ac:dyDescent="0.3">
      <c r="B58" s="2">
        <f t="shared" si="0"/>
        <v>5.5999999999999961</v>
      </c>
      <c r="C58" s="2">
        <v>0</v>
      </c>
    </row>
    <row r="59" spans="2:3" x14ac:dyDescent="0.3">
      <c r="B59" s="19">
        <f t="shared" si="0"/>
        <v>5.6999999999999957</v>
      </c>
      <c r="C59" s="2">
        <v>0</v>
      </c>
    </row>
    <row r="60" spans="2:3" x14ac:dyDescent="0.3">
      <c r="B60" s="19">
        <f t="shared" si="0"/>
        <v>5.7999999999999954</v>
      </c>
      <c r="C60" s="2">
        <v>0</v>
      </c>
    </row>
    <row r="61" spans="2:3" x14ac:dyDescent="0.3">
      <c r="B61" s="19">
        <f t="shared" si="0"/>
        <v>5.899999999999995</v>
      </c>
      <c r="C61" s="2">
        <v>0</v>
      </c>
    </row>
    <row r="62" spans="2:3" x14ac:dyDescent="0.3">
      <c r="B62" s="19">
        <f t="shared" si="0"/>
        <v>5.9999999999999947</v>
      </c>
      <c r="C62" s="2">
        <v>0</v>
      </c>
    </row>
    <row r="63" spans="2:3" x14ac:dyDescent="0.3">
      <c r="B63" s="19">
        <f t="shared" si="0"/>
        <v>6.0999999999999943</v>
      </c>
      <c r="C63" s="2">
        <v>0</v>
      </c>
    </row>
    <row r="64" spans="2:3" x14ac:dyDescent="0.3">
      <c r="B64" s="19">
        <f t="shared" si="0"/>
        <v>6.199999999999994</v>
      </c>
      <c r="C64" s="2">
        <v>0</v>
      </c>
    </row>
    <row r="65" spans="2:3" x14ac:dyDescent="0.3">
      <c r="B65" s="19">
        <f t="shared" si="0"/>
        <v>6.2999999999999936</v>
      </c>
      <c r="C65" s="2">
        <v>0</v>
      </c>
    </row>
    <row r="66" spans="2:3" x14ac:dyDescent="0.3">
      <c r="B66" s="2">
        <f t="shared" si="0"/>
        <v>6.3999999999999932</v>
      </c>
      <c r="C66" s="2">
        <v>0</v>
      </c>
    </row>
    <row r="67" spans="2:3" x14ac:dyDescent="0.3">
      <c r="B67" s="2">
        <f t="shared" si="0"/>
        <v>6.4999999999999929</v>
      </c>
      <c r="C67" s="2">
        <v>0</v>
      </c>
    </row>
    <row r="68" spans="2:3" x14ac:dyDescent="0.3">
      <c r="B68" s="2">
        <f t="shared" ref="B68:B131" si="2">B67+0.1</f>
        <v>6.5999999999999925</v>
      </c>
      <c r="C68" s="2">
        <v>0</v>
      </c>
    </row>
    <row r="69" spans="2:3" x14ac:dyDescent="0.3">
      <c r="B69" s="19">
        <f t="shared" si="2"/>
        <v>6.6999999999999922</v>
      </c>
      <c r="C69" s="2">
        <v>0</v>
      </c>
    </row>
    <row r="70" spans="2:3" x14ac:dyDescent="0.3">
      <c r="B70" s="19">
        <f t="shared" si="2"/>
        <v>6.7999999999999918</v>
      </c>
      <c r="C70" s="2">
        <v>0</v>
      </c>
    </row>
    <row r="71" spans="2:3" x14ac:dyDescent="0.3">
      <c r="B71" s="19">
        <f t="shared" si="2"/>
        <v>6.8999999999999915</v>
      </c>
      <c r="C71" s="2">
        <v>0</v>
      </c>
    </row>
    <row r="72" spans="2:3" x14ac:dyDescent="0.3">
      <c r="B72" s="19">
        <f t="shared" si="2"/>
        <v>6.9999999999999911</v>
      </c>
      <c r="C72" s="2">
        <v>0</v>
      </c>
    </row>
    <row r="73" spans="2:3" x14ac:dyDescent="0.3">
      <c r="B73" s="19">
        <f t="shared" si="2"/>
        <v>7.0999999999999908</v>
      </c>
      <c r="C73" s="2">
        <v>0</v>
      </c>
    </row>
    <row r="74" spans="2:3" x14ac:dyDescent="0.3">
      <c r="B74" s="19">
        <f t="shared" si="2"/>
        <v>7.1999999999999904</v>
      </c>
      <c r="C74" s="2">
        <v>0</v>
      </c>
    </row>
    <row r="75" spans="2:3" x14ac:dyDescent="0.3">
      <c r="B75" s="19">
        <f t="shared" si="2"/>
        <v>7.2999999999999901</v>
      </c>
      <c r="C75" s="2">
        <v>0</v>
      </c>
    </row>
    <row r="76" spans="2:3" x14ac:dyDescent="0.3">
      <c r="B76" s="2">
        <f t="shared" si="2"/>
        <v>7.3999999999999897</v>
      </c>
      <c r="C76" s="2">
        <v>0</v>
      </c>
    </row>
    <row r="77" spans="2:3" x14ac:dyDescent="0.3">
      <c r="B77" s="2">
        <f t="shared" si="2"/>
        <v>7.4999999999999893</v>
      </c>
      <c r="C77" s="2">
        <v>0</v>
      </c>
    </row>
    <row r="78" spans="2:3" x14ac:dyDescent="0.3">
      <c r="B78" s="2">
        <f t="shared" si="2"/>
        <v>7.599999999999989</v>
      </c>
      <c r="C78" s="2">
        <v>0</v>
      </c>
    </row>
    <row r="79" spans="2:3" x14ac:dyDescent="0.3">
      <c r="B79" s="19">
        <f t="shared" si="2"/>
        <v>7.6999999999999886</v>
      </c>
      <c r="C79" s="2">
        <v>0</v>
      </c>
    </row>
    <row r="80" spans="2:3" x14ac:dyDescent="0.3">
      <c r="B80" s="19">
        <f t="shared" si="2"/>
        <v>7.7999999999999883</v>
      </c>
      <c r="C80" s="2">
        <v>0</v>
      </c>
    </row>
    <row r="81" spans="2:3" x14ac:dyDescent="0.3">
      <c r="B81" s="19">
        <f t="shared" si="2"/>
        <v>7.8999999999999879</v>
      </c>
      <c r="C81" s="2">
        <v>0</v>
      </c>
    </row>
    <row r="82" spans="2:3" x14ac:dyDescent="0.3">
      <c r="B82" s="19">
        <f t="shared" si="2"/>
        <v>7.9999999999999876</v>
      </c>
      <c r="C82" s="2">
        <v>0</v>
      </c>
    </row>
    <row r="83" spans="2:3" x14ac:dyDescent="0.3">
      <c r="B83" s="19">
        <f t="shared" si="2"/>
        <v>8.0999999999999872</v>
      </c>
      <c r="C83" s="2">
        <v>0</v>
      </c>
    </row>
    <row r="84" spans="2:3" x14ac:dyDescent="0.3">
      <c r="B84" s="19">
        <f t="shared" si="2"/>
        <v>8.1999999999999869</v>
      </c>
      <c r="C84" s="2">
        <v>0</v>
      </c>
    </row>
    <row r="85" spans="2:3" x14ac:dyDescent="0.3">
      <c r="B85" s="19">
        <f t="shared" si="2"/>
        <v>8.2999999999999865</v>
      </c>
      <c r="C85" s="2">
        <v>0</v>
      </c>
    </row>
    <row r="86" spans="2:3" x14ac:dyDescent="0.3">
      <c r="B86" s="2">
        <f t="shared" si="2"/>
        <v>8.3999999999999861</v>
      </c>
      <c r="C86" s="2">
        <v>0</v>
      </c>
    </row>
    <row r="87" spans="2:3" x14ac:dyDescent="0.3">
      <c r="B87" s="2">
        <f t="shared" si="2"/>
        <v>8.4999999999999858</v>
      </c>
      <c r="C87" s="2">
        <v>0</v>
      </c>
    </row>
    <row r="88" spans="2:3" x14ac:dyDescent="0.3">
      <c r="B88" s="2">
        <f t="shared" si="2"/>
        <v>8.5999999999999854</v>
      </c>
      <c r="C88" s="2">
        <v>0</v>
      </c>
    </row>
    <row r="89" spans="2:3" x14ac:dyDescent="0.3">
      <c r="B89" s="19">
        <f t="shared" si="2"/>
        <v>8.6999999999999851</v>
      </c>
      <c r="C89" s="2">
        <v>0</v>
      </c>
    </row>
    <row r="90" spans="2:3" x14ac:dyDescent="0.3">
      <c r="B90" s="19">
        <f t="shared" si="2"/>
        <v>8.7999999999999847</v>
      </c>
      <c r="C90" s="2">
        <v>0</v>
      </c>
    </row>
    <row r="91" spans="2:3" x14ac:dyDescent="0.3">
      <c r="B91" s="19">
        <f t="shared" si="2"/>
        <v>8.8999999999999844</v>
      </c>
      <c r="C91" s="2">
        <v>0</v>
      </c>
    </row>
    <row r="92" spans="2:3" x14ac:dyDescent="0.3">
      <c r="B92" s="19">
        <f t="shared" si="2"/>
        <v>8.999999999999984</v>
      </c>
      <c r="C92" s="2">
        <v>0</v>
      </c>
    </row>
    <row r="93" spans="2:3" x14ac:dyDescent="0.3">
      <c r="B93" s="19">
        <f t="shared" si="2"/>
        <v>9.0999999999999837</v>
      </c>
      <c r="C93" s="2">
        <v>0</v>
      </c>
    </row>
    <row r="94" spans="2:3" x14ac:dyDescent="0.3">
      <c r="B94" s="19">
        <f t="shared" si="2"/>
        <v>9.1999999999999833</v>
      </c>
      <c r="C94" s="2">
        <v>0</v>
      </c>
    </row>
    <row r="95" spans="2:3" x14ac:dyDescent="0.3">
      <c r="B95" s="19">
        <f t="shared" si="2"/>
        <v>9.2999999999999829</v>
      </c>
      <c r="C95" s="2">
        <v>0</v>
      </c>
    </row>
    <row r="96" spans="2:3" x14ac:dyDescent="0.3">
      <c r="B96" s="2">
        <f t="shared" si="2"/>
        <v>9.3999999999999826</v>
      </c>
      <c r="C96" s="2">
        <v>0</v>
      </c>
    </row>
    <row r="97" spans="2:3" x14ac:dyDescent="0.3">
      <c r="B97" s="2">
        <f t="shared" si="2"/>
        <v>9.4999999999999822</v>
      </c>
      <c r="C97" s="2">
        <v>0</v>
      </c>
    </row>
    <row r="98" spans="2:3" x14ac:dyDescent="0.3">
      <c r="B98" s="2">
        <f t="shared" si="2"/>
        <v>9.5999999999999819</v>
      </c>
      <c r="C98" s="2">
        <v>0</v>
      </c>
    </row>
    <row r="99" spans="2:3" x14ac:dyDescent="0.3">
      <c r="B99" s="19">
        <f t="shared" si="2"/>
        <v>9.6999999999999815</v>
      </c>
      <c r="C99" s="2">
        <v>0</v>
      </c>
    </row>
    <row r="100" spans="2:3" x14ac:dyDescent="0.3">
      <c r="B100" s="19">
        <f t="shared" si="2"/>
        <v>9.7999999999999812</v>
      </c>
      <c r="C100" s="2">
        <v>0</v>
      </c>
    </row>
    <row r="101" spans="2:3" x14ac:dyDescent="0.3">
      <c r="B101" s="19">
        <f t="shared" si="2"/>
        <v>9.8999999999999808</v>
      </c>
      <c r="C101" s="2">
        <v>0</v>
      </c>
    </row>
    <row r="102" spans="2:3" x14ac:dyDescent="0.3">
      <c r="B102" s="19">
        <f t="shared" si="2"/>
        <v>9.9999999999999805</v>
      </c>
      <c r="C102" s="2">
        <v>0</v>
      </c>
    </row>
    <row r="103" spans="2:3" x14ac:dyDescent="0.3">
      <c r="B103" s="19">
        <f t="shared" si="2"/>
        <v>10.09999999999998</v>
      </c>
      <c r="C103" s="2">
        <v>0</v>
      </c>
    </row>
    <row r="104" spans="2:3" x14ac:dyDescent="0.3">
      <c r="B104" s="19">
        <f t="shared" si="2"/>
        <v>10.19999999999998</v>
      </c>
      <c r="C104" s="2">
        <v>0</v>
      </c>
    </row>
    <row r="105" spans="2:3" x14ac:dyDescent="0.3">
      <c r="B105" s="19">
        <f t="shared" si="2"/>
        <v>10.299999999999979</v>
      </c>
      <c r="C105" s="2">
        <v>0</v>
      </c>
    </row>
    <row r="106" spans="2:3" x14ac:dyDescent="0.3">
      <c r="B106" s="2">
        <f t="shared" si="2"/>
        <v>10.399999999999979</v>
      </c>
      <c r="C106" s="2">
        <v>0</v>
      </c>
    </row>
    <row r="107" spans="2:3" x14ac:dyDescent="0.3">
      <c r="B107" s="2">
        <f t="shared" si="2"/>
        <v>10.499999999999979</v>
      </c>
      <c r="C107" s="2">
        <v>0</v>
      </c>
    </row>
    <row r="108" spans="2:3" x14ac:dyDescent="0.3">
      <c r="B108" s="2">
        <f t="shared" si="2"/>
        <v>10.599999999999978</v>
      </c>
      <c r="C108" s="2">
        <v>0</v>
      </c>
    </row>
    <row r="109" spans="2:3" x14ac:dyDescent="0.3">
      <c r="B109" s="19">
        <f t="shared" si="2"/>
        <v>10.699999999999978</v>
      </c>
      <c r="C109" s="2">
        <v>0</v>
      </c>
    </row>
    <row r="110" spans="2:3" x14ac:dyDescent="0.3">
      <c r="B110" s="19">
        <f t="shared" si="2"/>
        <v>10.799999999999978</v>
      </c>
      <c r="C110" s="2">
        <v>0</v>
      </c>
    </row>
    <row r="111" spans="2:3" x14ac:dyDescent="0.3">
      <c r="B111" s="19">
        <f t="shared" si="2"/>
        <v>10.899999999999977</v>
      </c>
      <c r="C111" s="2">
        <v>0</v>
      </c>
    </row>
    <row r="112" spans="2:3" x14ac:dyDescent="0.3">
      <c r="B112" s="19">
        <f t="shared" si="2"/>
        <v>10.999999999999977</v>
      </c>
      <c r="C112" s="2">
        <v>0</v>
      </c>
    </row>
    <row r="113" spans="2:3" x14ac:dyDescent="0.3">
      <c r="B113" s="19">
        <f t="shared" si="2"/>
        <v>11.099999999999977</v>
      </c>
      <c r="C113" s="2">
        <v>0</v>
      </c>
    </row>
    <row r="114" spans="2:3" x14ac:dyDescent="0.3">
      <c r="B114" s="19">
        <f t="shared" si="2"/>
        <v>11.199999999999976</v>
      </c>
      <c r="C114" s="2">
        <v>0</v>
      </c>
    </row>
    <row r="115" spans="2:3" x14ac:dyDescent="0.3">
      <c r="B115" s="19">
        <f t="shared" si="2"/>
        <v>11.299999999999976</v>
      </c>
      <c r="C115" s="2">
        <v>0</v>
      </c>
    </row>
    <row r="116" spans="2:3" x14ac:dyDescent="0.3">
      <c r="B116" s="2">
        <f t="shared" si="2"/>
        <v>11.399999999999975</v>
      </c>
      <c r="C116" s="2">
        <v>0</v>
      </c>
    </row>
    <row r="117" spans="2:3" x14ac:dyDescent="0.3">
      <c r="B117" s="2">
        <f t="shared" si="2"/>
        <v>11.499999999999975</v>
      </c>
      <c r="C117" s="2">
        <v>0</v>
      </c>
    </row>
    <row r="118" spans="2:3" x14ac:dyDescent="0.3">
      <c r="B118" s="2">
        <f t="shared" si="2"/>
        <v>11.599999999999975</v>
      </c>
      <c r="C118" s="2">
        <v>0</v>
      </c>
    </row>
    <row r="119" spans="2:3" x14ac:dyDescent="0.3">
      <c r="B119" s="2">
        <f t="shared" si="2"/>
        <v>11.699999999999974</v>
      </c>
      <c r="C119" s="2">
        <v>0</v>
      </c>
    </row>
    <row r="120" spans="2:3" x14ac:dyDescent="0.3">
      <c r="B120" s="2">
        <f t="shared" si="2"/>
        <v>11.799999999999974</v>
      </c>
      <c r="C120" s="2">
        <v>0</v>
      </c>
    </row>
    <row r="121" spans="2:3" x14ac:dyDescent="0.3">
      <c r="B121" s="2">
        <f t="shared" si="2"/>
        <v>11.899999999999974</v>
      </c>
      <c r="C121" s="2">
        <v>0</v>
      </c>
    </row>
    <row r="122" spans="2:3" x14ac:dyDescent="0.3">
      <c r="B122" s="2">
        <f t="shared" si="2"/>
        <v>11.999999999999973</v>
      </c>
      <c r="C122" s="2">
        <v>0</v>
      </c>
    </row>
    <row r="123" spans="2:3" x14ac:dyDescent="0.3">
      <c r="B123" s="2">
        <f t="shared" si="2"/>
        <v>12.099999999999973</v>
      </c>
      <c r="C123" s="2">
        <v>0</v>
      </c>
    </row>
    <row r="124" spans="2:3" x14ac:dyDescent="0.3">
      <c r="B124" s="2">
        <f t="shared" si="2"/>
        <v>12.199999999999973</v>
      </c>
      <c r="C124" s="2">
        <v>0</v>
      </c>
    </row>
    <row r="125" spans="2:3" x14ac:dyDescent="0.3">
      <c r="B125" s="2">
        <f t="shared" si="2"/>
        <v>12.299999999999972</v>
      </c>
      <c r="C125" s="2">
        <v>0</v>
      </c>
    </row>
    <row r="126" spans="2:3" x14ac:dyDescent="0.3">
      <c r="B126" s="2">
        <f t="shared" si="2"/>
        <v>12.399999999999972</v>
      </c>
      <c r="C126" s="2">
        <v>0</v>
      </c>
    </row>
    <row r="127" spans="2:3" x14ac:dyDescent="0.3">
      <c r="B127" s="2">
        <f t="shared" si="2"/>
        <v>12.499999999999972</v>
      </c>
      <c r="C127" s="2">
        <v>0</v>
      </c>
    </row>
    <row r="128" spans="2:3" x14ac:dyDescent="0.3">
      <c r="B128" s="2">
        <f t="shared" si="2"/>
        <v>12.599999999999971</v>
      </c>
      <c r="C128" s="2">
        <v>0</v>
      </c>
    </row>
    <row r="129" spans="2:3" x14ac:dyDescent="0.3">
      <c r="B129" s="2">
        <f t="shared" si="2"/>
        <v>12.699999999999971</v>
      </c>
      <c r="C129" s="2">
        <v>0</v>
      </c>
    </row>
    <row r="130" spans="2:3" x14ac:dyDescent="0.3">
      <c r="B130" s="2">
        <f t="shared" si="2"/>
        <v>12.799999999999971</v>
      </c>
      <c r="C130" s="2">
        <v>0</v>
      </c>
    </row>
    <row r="131" spans="2:3" x14ac:dyDescent="0.3">
      <c r="B131" s="2">
        <f t="shared" si="2"/>
        <v>12.89999999999997</v>
      </c>
      <c r="C131" s="2">
        <v>0</v>
      </c>
    </row>
    <row r="132" spans="2:3" x14ac:dyDescent="0.3">
      <c r="B132" s="2">
        <f t="shared" ref="B132:B195" si="3">B131+0.1</f>
        <v>12.99999999999997</v>
      </c>
      <c r="C132" s="2">
        <v>0</v>
      </c>
    </row>
    <row r="133" spans="2:3" x14ac:dyDescent="0.3">
      <c r="B133" s="2">
        <f t="shared" si="3"/>
        <v>13.099999999999969</v>
      </c>
      <c r="C133" s="2">
        <v>0</v>
      </c>
    </row>
    <row r="134" spans="2:3" x14ac:dyDescent="0.3">
      <c r="B134" s="2">
        <f t="shared" si="3"/>
        <v>13.199999999999969</v>
      </c>
      <c r="C134" s="2">
        <v>0</v>
      </c>
    </row>
    <row r="135" spans="2:3" x14ac:dyDescent="0.3">
      <c r="B135" s="2">
        <f t="shared" si="3"/>
        <v>13.299999999999969</v>
      </c>
      <c r="C135" s="2">
        <v>0</v>
      </c>
    </row>
    <row r="136" spans="2:3" x14ac:dyDescent="0.3">
      <c r="B136" s="2">
        <f t="shared" si="3"/>
        <v>13.399999999999968</v>
      </c>
      <c r="C136" s="2">
        <v>0</v>
      </c>
    </row>
    <row r="137" spans="2:3" x14ac:dyDescent="0.3">
      <c r="B137" s="2">
        <f t="shared" si="3"/>
        <v>13.499999999999968</v>
      </c>
      <c r="C137" s="2">
        <v>0</v>
      </c>
    </row>
    <row r="138" spans="2:3" x14ac:dyDescent="0.3">
      <c r="B138" s="2">
        <f t="shared" si="3"/>
        <v>13.599999999999968</v>
      </c>
      <c r="C138" s="2">
        <v>0</v>
      </c>
    </row>
    <row r="139" spans="2:3" x14ac:dyDescent="0.3">
      <c r="B139" s="2">
        <f t="shared" si="3"/>
        <v>13.699999999999967</v>
      </c>
      <c r="C139" s="2">
        <v>0</v>
      </c>
    </row>
    <row r="140" spans="2:3" x14ac:dyDescent="0.3">
      <c r="B140" s="2">
        <f t="shared" si="3"/>
        <v>13.799999999999967</v>
      </c>
      <c r="C140" s="2">
        <v>0</v>
      </c>
    </row>
    <row r="141" spans="2:3" x14ac:dyDescent="0.3">
      <c r="B141" s="2">
        <f t="shared" si="3"/>
        <v>13.899999999999967</v>
      </c>
      <c r="C141" s="2">
        <v>0</v>
      </c>
    </row>
    <row r="142" spans="2:3" x14ac:dyDescent="0.3">
      <c r="B142" s="2">
        <f t="shared" si="3"/>
        <v>13.999999999999966</v>
      </c>
      <c r="C142" s="2">
        <v>0</v>
      </c>
    </row>
    <row r="143" spans="2:3" x14ac:dyDescent="0.3">
      <c r="B143" s="2">
        <f t="shared" si="3"/>
        <v>14.099999999999966</v>
      </c>
      <c r="C143" s="2">
        <v>0</v>
      </c>
    </row>
    <row r="144" spans="2:3" x14ac:dyDescent="0.3">
      <c r="B144" s="2">
        <f t="shared" si="3"/>
        <v>14.199999999999966</v>
      </c>
      <c r="C144" s="2">
        <v>0</v>
      </c>
    </row>
    <row r="145" spans="2:3" x14ac:dyDescent="0.3">
      <c r="B145" s="2">
        <f t="shared" si="3"/>
        <v>14.299999999999965</v>
      </c>
      <c r="C145" s="2">
        <v>0</v>
      </c>
    </row>
    <row r="146" spans="2:3" x14ac:dyDescent="0.3">
      <c r="B146" s="2">
        <f t="shared" si="3"/>
        <v>14.399999999999965</v>
      </c>
      <c r="C146" s="2">
        <v>0</v>
      </c>
    </row>
    <row r="147" spans="2:3" x14ac:dyDescent="0.3">
      <c r="B147" s="2">
        <f t="shared" si="3"/>
        <v>14.499999999999964</v>
      </c>
      <c r="C147" s="2">
        <v>0</v>
      </c>
    </row>
    <row r="148" spans="2:3" x14ac:dyDescent="0.3">
      <c r="B148" s="2">
        <f t="shared" si="3"/>
        <v>14.599999999999964</v>
      </c>
      <c r="C148" s="2">
        <v>0</v>
      </c>
    </row>
    <row r="149" spans="2:3" x14ac:dyDescent="0.3">
      <c r="B149" s="2">
        <f t="shared" si="3"/>
        <v>14.699999999999964</v>
      </c>
      <c r="C149" s="2">
        <v>0</v>
      </c>
    </row>
    <row r="150" spans="2:3" x14ac:dyDescent="0.3">
      <c r="B150" s="2">
        <f t="shared" si="3"/>
        <v>14.799999999999963</v>
      </c>
      <c r="C150" s="2">
        <v>0</v>
      </c>
    </row>
    <row r="151" spans="2:3" x14ac:dyDescent="0.3">
      <c r="B151" s="2">
        <f t="shared" si="3"/>
        <v>14.899999999999963</v>
      </c>
      <c r="C151" s="2">
        <v>0</v>
      </c>
    </row>
    <row r="152" spans="2:3" x14ac:dyDescent="0.3">
      <c r="B152" s="2">
        <f t="shared" si="3"/>
        <v>14.999999999999963</v>
      </c>
      <c r="C152" s="2">
        <v>0</v>
      </c>
    </row>
    <row r="153" spans="2:3" x14ac:dyDescent="0.3">
      <c r="B153" s="2">
        <f t="shared" si="3"/>
        <v>15.099999999999962</v>
      </c>
      <c r="C153" s="2">
        <v>0</v>
      </c>
    </row>
    <row r="154" spans="2:3" x14ac:dyDescent="0.3">
      <c r="B154" s="2">
        <f t="shared" si="3"/>
        <v>15.199999999999962</v>
      </c>
      <c r="C154" s="2">
        <v>0</v>
      </c>
    </row>
    <row r="155" spans="2:3" x14ac:dyDescent="0.3">
      <c r="B155" s="2">
        <f t="shared" si="3"/>
        <v>15.299999999999962</v>
      </c>
      <c r="C155" s="2">
        <v>0</v>
      </c>
    </row>
    <row r="156" spans="2:3" x14ac:dyDescent="0.3">
      <c r="B156" s="2">
        <f t="shared" si="3"/>
        <v>15.399999999999961</v>
      </c>
      <c r="C156" s="2">
        <v>0</v>
      </c>
    </row>
    <row r="157" spans="2:3" x14ac:dyDescent="0.3">
      <c r="B157" s="2">
        <f t="shared" si="3"/>
        <v>15.499999999999961</v>
      </c>
      <c r="C157" s="2">
        <v>0</v>
      </c>
    </row>
    <row r="158" spans="2:3" x14ac:dyDescent="0.3">
      <c r="B158" s="2">
        <f t="shared" si="3"/>
        <v>15.599999999999961</v>
      </c>
      <c r="C158" s="2">
        <v>0</v>
      </c>
    </row>
    <row r="159" spans="2:3" x14ac:dyDescent="0.3">
      <c r="B159" s="2">
        <f t="shared" si="3"/>
        <v>15.69999999999996</v>
      </c>
      <c r="C159" s="2">
        <v>0</v>
      </c>
    </row>
    <row r="160" spans="2:3" x14ac:dyDescent="0.3">
      <c r="B160" s="2">
        <f t="shared" si="3"/>
        <v>15.79999999999996</v>
      </c>
      <c r="C160" s="2">
        <v>0</v>
      </c>
    </row>
    <row r="161" spans="2:3" x14ac:dyDescent="0.3">
      <c r="B161" s="2">
        <f t="shared" si="3"/>
        <v>15.899999999999959</v>
      </c>
      <c r="C161" s="2">
        <v>0</v>
      </c>
    </row>
    <row r="162" spans="2:3" x14ac:dyDescent="0.3">
      <c r="B162" s="2">
        <f t="shared" si="3"/>
        <v>15.999999999999959</v>
      </c>
      <c r="C162" s="2">
        <v>0</v>
      </c>
    </row>
    <row r="163" spans="2:3" x14ac:dyDescent="0.3">
      <c r="B163" s="2">
        <f t="shared" si="3"/>
        <v>16.099999999999959</v>
      </c>
      <c r="C163" s="2">
        <v>0</v>
      </c>
    </row>
    <row r="164" spans="2:3" x14ac:dyDescent="0.3">
      <c r="B164" s="2">
        <f t="shared" si="3"/>
        <v>16.19999999999996</v>
      </c>
      <c r="C164" s="2">
        <v>0</v>
      </c>
    </row>
    <row r="165" spans="2:3" x14ac:dyDescent="0.3">
      <c r="B165" s="2">
        <f t="shared" si="3"/>
        <v>16.299999999999962</v>
      </c>
      <c r="C165" s="2">
        <v>0</v>
      </c>
    </row>
    <row r="166" spans="2:3" x14ac:dyDescent="0.3">
      <c r="B166" s="2">
        <f t="shared" si="3"/>
        <v>16.399999999999963</v>
      </c>
      <c r="C166" s="2">
        <v>0</v>
      </c>
    </row>
    <row r="167" spans="2:3" x14ac:dyDescent="0.3">
      <c r="B167" s="2">
        <f t="shared" si="3"/>
        <v>16.499999999999964</v>
      </c>
      <c r="C167" s="2">
        <v>0</v>
      </c>
    </row>
    <row r="168" spans="2:3" x14ac:dyDescent="0.3">
      <c r="B168" s="2">
        <f t="shared" si="3"/>
        <v>16.599999999999966</v>
      </c>
      <c r="C168" s="2">
        <v>0</v>
      </c>
    </row>
    <row r="169" spans="2:3" x14ac:dyDescent="0.3">
      <c r="B169" s="2">
        <f t="shared" si="3"/>
        <v>16.699999999999967</v>
      </c>
      <c r="C169" s="2">
        <v>0</v>
      </c>
    </row>
    <row r="170" spans="2:3" x14ac:dyDescent="0.3">
      <c r="B170" s="2">
        <f t="shared" si="3"/>
        <v>16.799999999999969</v>
      </c>
      <c r="C170" s="2">
        <v>0</v>
      </c>
    </row>
    <row r="171" spans="2:3" x14ac:dyDescent="0.3">
      <c r="B171" s="2">
        <f t="shared" si="3"/>
        <v>16.89999999999997</v>
      </c>
      <c r="C171" s="2">
        <v>0</v>
      </c>
    </row>
    <row r="172" spans="2:3" x14ac:dyDescent="0.3">
      <c r="B172" s="2">
        <f t="shared" si="3"/>
        <v>16.999999999999972</v>
      </c>
      <c r="C172" s="2">
        <v>0</v>
      </c>
    </row>
    <row r="173" spans="2:3" x14ac:dyDescent="0.3">
      <c r="B173" s="2">
        <f t="shared" si="3"/>
        <v>17.099999999999973</v>
      </c>
      <c r="C173" s="2">
        <v>0</v>
      </c>
    </row>
    <row r="174" spans="2:3" x14ac:dyDescent="0.3">
      <c r="B174" s="2">
        <f t="shared" si="3"/>
        <v>17.199999999999974</v>
      </c>
      <c r="C174" s="2">
        <v>0</v>
      </c>
    </row>
    <row r="175" spans="2:3" x14ac:dyDescent="0.3">
      <c r="B175" s="2">
        <f t="shared" si="3"/>
        <v>17.299999999999976</v>
      </c>
      <c r="C175" s="2">
        <v>0</v>
      </c>
    </row>
    <row r="176" spans="2:3" x14ac:dyDescent="0.3">
      <c r="B176" s="2">
        <f t="shared" si="3"/>
        <v>17.399999999999977</v>
      </c>
      <c r="C176" s="2">
        <v>0</v>
      </c>
    </row>
    <row r="177" spans="2:3" x14ac:dyDescent="0.3">
      <c r="B177" s="2">
        <f t="shared" si="3"/>
        <v>17.499999999999979</v>
      </c>
      <c r="C177" s="2">
        <v>0</v>
      </c>
    </row>
    <row r="178" spans="2:3" x14ac:dyDescent="0.3">
      <c r="B178" s="2">
        <f t="shared" si="3"/>
        <v>17.59999999999998</v>
      </c>
      <c r="C178" s="2">
        <v>0</v>
      </c>
    </row>
    <row r="179" spans="2:3" x14ac:dyDescent="0.3">
      <c r="B179" s="2">
        <f t="shared" si="3"/>
        <v>17.699999999999982</v>
      </c>
      <c r="C179" s="2">
        <v>0</v>
      </c>
    </row>
    <row r="180" spans="2:3" x14ac:dyDescent="0.3">
      <c r="B180" s="2">
        <f t="shared" si="3"/>
        <v>17.799999999999983</v>
      </c>
      <c r="C180" s="2">
        <v>0</v>
      </c>
    </row>
    <row r="181" spans="2:3" x14ac:dyDescent="0.3">
      <c r="B181" s="2">
        <f t="shared" si="3"/>
        <v>17.899999999999984</v>
      </c>
      <c r="C181" s="2">
        <v>0</v>
      </c>
    </row>
    <row r="182" spans="2:3" x14ac:dyDescent="0.3">
      <c r="B182" s="2">
        <f t="shared" si="3"/>
        <v>17.999999999999986</v>
      </c>
      <c r="C182" s="2">
        <v>0</v>
      </c>
    </row>
    <row r="183" spans="2:3" x14ac:dyDescent="0.3">
      <c r="B183" s="2">
        <f t="shared" si="3"/>
        <v>18.099999999999987</v>
      </c>
      <c r="C183" s="2">
        <v>0</v>
      </c>
    </row>
    <row r="184" spans="2:3" x14ac:dyDescent="0.3">
      <c r="B184" s="2">
        <f t="shared" si="3"/>
        <v>18.199999999999989</v>
      </c>
      <c r="C184" s="2">
        <v>0</v>
      </c>
    </row>
    <row r="185" spans="2:3" x14ac:dyDescent="0.3">
      <c r="B185" s="2">
        <f t="shared" si="3"/>
        <v>18.29999999999999</v>
      </c>
      <c r="C185" s="2">
        <v>0</v>
      </c>
    </row>
    <row r="186" spans="2:3" x14ac:dyDescent="0.3">
      <c r="B186" s="2">
        <f t="shared" si="3"/>
        <v>18.399999999999991</v>
      </c>
      <c r="C186" s="2">
        <v>0</v>
      </c>
    </row>
    <row r="187" spans="2:3" x14ac:dyDescent="0.3">
      <c r="B187" s="2">
        <f t="shared" si="3"/>
        <v>18.499999999999993</v>
      </c>
      <c r="C187" s="2">
        <v>0</v>
      </c>
    </row>
    <row r="188" spans="2:3" x14ac:dyDescent="0.3">
      <c r="B188" s="2">
        <f t="shared" si="3"/>
        <v>18.599999999999994</v>
      </c>
      <c r="C188" s="2">
        <v>0</v>
      </c>
    </row>
    <row r="189" spans="2:3" x14ac:dyDescent="0.3">
      <c r="B189" s="2">
        <f t="shared" si="3"/>
        <v>18.699999999999996</v>
      </c>
      <c r="C189" s="2">
        <v>0</v>
      </c>
    </row>
    <row r="190" spans="2:3" x14ac:dyDescent="0.3">
      <c r="B190" s="2">
        <f t="shared" si="3"/>
        <v>18.799999999999997</v>
      </c>
      <c r="C190" s="2">
        <v>0</v>
      </c>
    </row>
    <row r="191" spans="2:3" x14ac:dyDescent="0.3">
      <c r="B191" s="2">
        <f t="shared" si="3"/>
        <v>18.899999999999999</v>
      </c>
      <c r="C191" s="2">
        <v>0</v>
      </c>
    </row>
    <row r="192" spans="2:3" x14ac:dyDescent="0.3">
      <c r="B192" s="2">
        <f t="shared" si="3"/>
        <v>19</v>
      </c>
      <c r="C192" s="2">
        <v>0</v>
      </c>
    </row>
    <row r="193" spans="2:3" x14ac:dyDescent="0.3">
      <c r="B193" s="2">
        <f t="shared" si="3"/>
        <v>19.100000000000001</v>
      </c>
      <c r="C193" s="2">
        <v>0</v>
      </c>
    </row>
    <row r="194" spans="2:3" x14ac:dyDescent="0.3">
      <c r="B194" s="2">
        <f t="shared" si="3"/>
        <v>19.200000000000003</v>
      </c>
      <c r="C194" s="2">
        <v>0</v>
      </c>
    </row>
    <row r="195" spans="2:3" x14ac:dyDescent="0.3">
      <c r="B195" s="2">
        <f t="shared" si="3"/>
        <v>19.300000000000004</v>
      </c>
      <c r="C195" s="2">
        <v>0</v>
      </c>
    </row>
    <row r="196" spans="2:3" x14ac:dyDescent="0.3">
      <c r="B196" s="2">
        <f t="shared" ref="B196:B259" si="4">B195+0.1</f>
        <v>19.400000000000006</v>
      </c>
      <c r="C196" s="2">
        <v>0</v>
      </c>
    </row>
    <row r="197" spans="2:3" x14ac:dyDescent="0.3">
      <c r="B197" s="2">
        <f t="shared" si="4"/>
        <v>19.500000000000007</v>
      </c>
      <c r="C197" s="2">
        <v>0</v>
      </c>
    </row>
    <row r="198" spans="2:3" x14ac:dyDescent="0.3">
      <c r="B198" s="2">
        <f t="shared" si="4"/>
        <v>19.600000000000009</v>
      </c>
      <c r="C198" s="2">
        <v>0</v>
      </c>
    </row>
    <row r="199" spans="2:3" x14ac:dyDescent="0.3">
      <c r="B199" s="2">
        <f t="shared" si="4"/>
        <v>19.70000000000001</v>
      </c>
      <c r="C199" s="2">
        <v>0</v>
      </c>
    </row>
    <row r="200" spans="2:3" x14ac:dyDescent="0.3">
      <c r="B200" s="2">
        <f t="shared" si="4"/>
        <v>19.800000000000011</v>
      </c>
      <c r="C200" s="2">
        <v>0</v>
      </c>
    </row>
    <row r="201" spans="2:3" x14ac:dyDescent="0.3">
      <c r="B201" s="2">
        <f t="shared" si="4"/>
        <v>19.900000000000013</v>
      </c>
      <c r="C201" s="2">
        <v>0</v>
      </c>
    </row>
    <row r="202" spans="2:3" x14ac:dyDescent="0.3">
      <c r="B202" s="2">
        <f t="shared" si="4"/>
        <v>20.000000000000014</v>
      </c>
      <c r="C202" s="2">
        <v>0</v>
      </c>
    </row>
    <row r="203" spans="2:3" x14ac:dyDescent="0.3">
      <c r="B203" s="2">
        <f t="shared" si="4"/>
        <v>20.100000000000016</v>
      </c>
      <c r="C203" s="2">
        <v>0</v>
      </c>
    </row>
    <row r="204" spans="2:3" x14ac:dyDescent="0.3">
      <c r="B204" s="2">
        <f t="shared" si="4"/>
        <v>20.200000000000017</v>
      </c>
      <c r="C204" s="2">
        <v>0</v>
      </c>
    </row>
    <row r="205" spans="2:3" x14ac:dyDescent="0.3">
      <c r="B205" s="2">
        <f t="shared" si="4"/>
        <v>20.300000000000018</v>
      </c>
      <c r="C205" s="2">
        <v>0</v>
      </c>
    </row>
    <row r="206" spans="2:3" x14ac:dyDescent="0.3">
      <c r="B206" s="2">
        <f t="shared" si="4"/>
        <v>20.40000000000002</v>
      </c>
      <c r="C206" s="2">
        <v>0</v>
      </c>
    </row>
    <row r="207" spans="2:3" x14ac:dyDescent="0.3">
      <c r="B207" s="2">
        <f t="shared" si="4"/>
        <v>20.500000000000021</v>
      </c>
      <c r="C207" s="2">
        <v>0</v>
      </c>
    </row>
    <row r="208" spans="2:3" x14ac:dyDescent="0.3">
      <c r="B208" s="2">
        <f t="shared" si="4"/>
        <v>20.600000000000023</v>
      </c>
      <c r="C208" s="2">
        <v>0</v>
      </c>
    </row>
    <row r="209" spans="2:3" x14ac:dyDescent="0.3">
      <c r="B209" s="2">
        <f t="shared" si="4"/>
        <v>20.700000000000024</v>
      </c>
      <c r="C209" s="2">
        <v>0</v>
      </c>
    </row>
    <row r="210" spans="2:3" x14ac:dyDescent="0.3">
      <c r="B210" s="2">
        <f t="shared" si="4"/>
        <v>20.800000000000026</v>
      </c>
      <c r="C210" s="2">
        <v>0</v>
      </c>
    </row>
    <row r="211" spans="2:3" x14ac:dyDescent="0.3">
      <c r="B211" s="2">
        <f t="shared" si="4"/>
        <v>20.900000000000027</v>
      </c>
      <c r="C211" s="2">
        <v>0</v>
      </c>
    </row>
    <row r="212" spans="2:3" x14ac:dyDescent="0.3">
      <c r="B212" s="2">
        <f t="shared" si="4"/>
        <v>21.000000000000028</v>
      </c>
      <c r="C212" s="2">
        <v>0</v>
      </c>
    </row>
    <row r="213" spans="2:3" x14ac:dyDescent="0.3">
      <c r="B213" s="2">
        <f t="shared" si="4"/>
        <v>21.10000000000003</v>
      </c>
      <c r="C213" s="2">
        <v>0</v>
      </c>
    </row>
    <row r="214" spans="2:3" x14ac:dyDescent="0.3">
      <c r="B214" s="2">
        <f t="shared" si="4"/>
        <v>21.200000000000031</v>
      </c>
      <c r="C214" s="2">
        <v>0</v>
      </c>
    </row>
    <row r="215" spans="2:3" x14ac:dyDescent="0.3">
      <c r="B215" s="2">
        <f t="shared" si="4"/>
        <v>21.300000000000033</v>
      </c>
      <c r="C215" s="2">
        <v>0</v>
      </c>
    </row>
    <row r="216" spans="2:3" x14ac:dyDescent="0.3">
      <c r="B216" s="2">
        <f t="shared" si="4"/>
        <v>21.400000000000034</v>
      </c>
      <c r="C216" s="2">
        <v>0</v>
      </c>
    </row>
    <row r="217" spans="2:3" x14ac:dyDescent="0.3">
      <c r="B217" s="2">
        <f t="shared" si="4"/>
        <v>21.500000000000036</v>
      </c>
      <c r="C217" s="2">
        <v>0</v>
      </c>
    </row>
    <row r="218" spans="2:3" x14ac:dyDescent="0.3">
      <c r="B218" s="2">
        <f t="shared" si="4"/>
        <v>21.600000000000037</v>
      </c>
      <c r="C218" s="2">
        <v>0</v>
      </c>
    </row>
    <row r="219" spans="2:3" x14ac:dyDescent="0.3">
      <c r="B219" s="2">
        <f t="shared" si="4"/>
        <v>21.700000000000038</v>
      </c>
      <c r="C219" s="2">
        <v>0</v>
      </c>
    </row>
    <row r="220" spans="2:3" x14ac:dyDescent="0.3">
      <c r="B220" s="2">
        <f t="shared" si="4"/>
        <v>21.80000000000004</v>
      </c>
      <c r="C220" s="2">
        <v>0</v>
      </c>
    </row>
    <row r="221" spans="2:3" x14ac:dyDescent="0.3">
      <c r="B221" s="2">
        <f t="shared" si="4"/>
        <v>21.900000000000041</v>
      </c>
      <c r="C221" s="2">
        <v>0</v>
      </c>
    </row>
    <row r="222" spans="2:3" x14ac:dyDescent="0.3">
      <c r="B222" s="2">
        <f t="shared" si="4"/>
        <v>22.000000000000043</v>
      </c>
      <c r="C222" s="2">
        <v>0</v>
      </c>
    </row>
    <row r="223" spans="2:3" x14ac:dyDescent="0.3">
      <c r="B223" s="2">
        <f t="shared" si="4"/>
        <v>22.100000000000044</v>
      </c>
      <c r="C223" s="2">
        <v>0</v>
      </c>
    </row>
    <row r="224" spans="2:3" x14ac:dyDescent="0.3">
      <c r="B224" s="2">
        <f t="shared" si="4"/>
        <v>22.200000000000045</v>
      </c>
      <c r="C224" s="2">
        <v>0</v>
      </c>
    </row>
    <row r="225" spans="2:3" x14ac:dyDescent="0.3">
      <c r="B225" s="2">
        <f t="shared" si="4"/>
        <v>22.300000000000047</v>
      </c>
      <c r="C225" s="2">
        <v>0</v>
      </c>
    </row>
    <row r="226" spans="2:3" x14ac:dyDescent="0.3">
      <c r="B226" s="2">
        <f t="shared" si="4"/>
        <v>22.400000000000048</v>
      </c>
      <c r="C226" s="2">
        <v>0</v>
      </c>
    </row>
    <row r="227" spans="2:3" x14ac:dyDescent="0.3">
      <c r="B227" s="2">
        <f t="shared" si="4"/>
        <v>22.50000000000005</v>
      </c>
      <c r="C227" s="2">
        <v>0</v>
      </c>
    </row>
    <row r="228" spans="2:3" x14ac:dyDescent="0.3">
      <c r="B228" s="2">
        <f t="shared" si="4"/>
        <v>22.600000000000051</v>
      </c>
      <c r="C228" s="2">
        <v>0</v>
      </c>
    </row>
    <row r="229" spans="2:3" x14ac:dyDescent="0.3">
      <c r="B229" s="2">
        <f t="shared" si="4"/>
        <v>22.700000000000053</v>
      </c>
      <c r="C229" s="2">
        <v>0</v>
      </c>
    </row>
    <row r="230" spans="2:3" x14ac:dyDescent="0.3">
      <c r="B230" s="2">
        <f t="shared" si="4"/>
        <v>22.800000000000054</v>
      </c>
      <c r="C230" s="2">
        <v>0</v>
      </c>
    </row>
    <row r="231" spans="2:3" x14ac:dyDescent="0.3">
      <c r="B231" s="2">
        <f t="shared" si="4"/>
        <v>22.900000000000055</v>
      </c>
      <c r="C231" s="2">
        <v>0</v>
      </c>
    </row>
    <row r="232" spans="2:3" x14ac:dyDescent="0.3">
      <c r="B232" s="2">
        <f t="shared" si="4"/>
        <v>23.000000000000057</v>
      </c>
      <c r="C232" s="2">
        <v>0</v>
      </c>
    </row>
    <row r="233" spans="2:3" x14ac:dyDescent="0.3">
      <c r="B233" s="2">
        <f t="shared" si="4"/>
        <v>23.100000000000058</v>
      </c>
      <c r="C233" s="2">
        <v>0</v>
      </c>
    </row>
    <row r="234" spans="2:3" x14ac:dyDescent="0.3">
      <c r="B234" s="2">
        <f t="shared" si="4"/>
        <v>23.20000000000006</v>
      </c>
      <c r="C234" s="2">
        <v>0</v>
      </c>
    </row>
    <row r="235" spans="2:3" x14ac:dyDescent="0.3">
      <c r="B235" s="2">
        <f t="shared" si="4"/>
        <v>23.300000000000061</v>
      </c>
      <c r="C235" s="2">
        <v>0</v>
      </c>
    </row>
    <row r="236" spans="2:3" x14ac:dyDescent="0.3">
      <c r="B236" s="2">
        <f t="shared" si="4"/>
        <v>23.400000000000063</v>
      </c>
      <c r="C236" s="2">
        <v>0</v>
      </c>
    </row>
    <row r="237" spans="2:3" x14ac:dyDescent="0.3">
      <c r="B237" s="2">
        <f t="shared" si="4"/>
        <v>23.500000000000064</v>
      </c>
      <c r="C237" s="2">
        <v>0</v>
      </c>
    </row>
    <row r="238" spans="2:3" x14ac:dyDescent="0.3">
      <c r="B238" s="2">
        <f t="shared" si="4"/>
        <v>23.600000000000065</v>
      </c>
      <c r="C238" s="2">
        <v>0</v>
      </c>
    </row>
    <row r="239" spans="2:3" x14ac:dyDescent="0.3">
      <c r="B239" s="2">
        <f t="shared" si="4"/>
        <v>23.700000000000067</v>
      </c>
      <c r="C239" s="2">
        <v>0</v>
      </c>
    </row>
    <row r="240" spans="2:3" x14ac:dyDescent="0.3">
      <c r="B240" s="2">
        <f t="shared" si="4"/>
        <v>23.800000000000068</v>
      </c>
      <c r="C240" s="2">
        <v>0</v>
      </c>
    </row>
    <row r="241" spans="2:3" x14ac:dyDescent="0.3">
      <c r="B241" s="2">
        <f t="shared" si="4"/>
        <v>23.90000000000007</v>
      </c>
      <c r="C241" s="2">
        <v>0</v>
      </c>
    </row>
    <row r="242" spans="2:3" x14ac:dyDescent="0.3">
      <c r="B242" s="2">
        <f t="shared" si="4"/>
        <v>24.000000000000071</v>
      </c>
      <c r="C242" s="2">
        <v>0</v>
      </c>
    </row>
    <row r="243" spans="2:3" x14ac:dyDescent="0.3">
      <c r="B243" s="2">
        <f t="shared" si="4"/>
        <v>24.100000000000072</v>
      </c>
      <c r="C243" s="2">
        <v>0</v>
      </c>
    </row>
    <row r="244" spans="2:3" x14ac:dyDescent="0.3">
      <c r="B244" s="2">
        <f t="shared" si="4"/>
        <v>24.200000000000074</v>
      </c>
      <c r="C244" s="2">
        <v>0</v>
      </c>
    </row>
    <row r="245" spans="2:3" x14ac:dyDescent="0.3">
      <c r="B245" s="2">
        <f t="shared" si="4"/>
        <v>24.300000000000075</v>
      </c>
      <c r="C245" s="2">
        <v>0</v>
      </c>
    </row>
    <row r="246" spans="2:3" x14ac:dyDescent="0.3">
      <c r="B246" s="2">
        <f t="shared" si="4"/>
        <v>24.400000000000077</v>
      </c>
      <c r="C246" s="2">
        <v>0</v>
      </c>
    </row>
    <row r="247" spans="2:3" x14ac:dyDescent="0.3">
      <c r="B247" s="2">
        <f t="shared" si="4"/>
        <v>24.500000000000078</v>
      </c>
      <c r="C247" s="2">
        <v>0</v>
      </c>
    </row>
    <row r="248" spans="2:3" x14ac:dyDescent="0.3">
      <c r="B248" s="2">
        <f t="shared" si="4"/>
        <v>24.60000000000008</v>
      </c>
      <c r="C248" s="2">
        <v>0</v>
      </c>
    </row>
    <row r="249" spans="2:3" x14ac:dyDescent="0.3">
      <c r="B249" s="2">
        <f t="shared" si="4"/>
        <v>24.700000000000081</v>
      </c>
      <c r="C249" s="2">
        <v>0</v>
      </c>
    </row>
    <row r="250" spans="2:3" x14ac:dyDescent="0.3">
      <c r="B250" s="2">
        <f t="shared" si="4"/>
        <v>24.800000000000082</v>
      </c>
      <c r="C250" s="2">
        <v>0</v>
      </c>
    </row>
    <row r="251" spans="2:3" x14ac:dyDescent="0.3">
      <c r="B251" s="2">
        <f t="shared" si="4"/>
        <v>24.900000000000084</v>
      </c>
      <c r="C251" s="2">
        <v>0</v>
      </c>
    </row>
    <row r="252" spans="2:3" x14ac:dyDescent="0.3">
      <c r="B252" s="2">
        <f t="shared" si="4"/>
        <v>25.000000000000085</v>
      </c>
      <c r="C252" s="2">
        <v>0</v>
      </c>
    </row>
    <row r="253" spans="2:3" x14ac:dyDescent="0.3">
      <c r="B253" s="2">
        <f t="shared" si="4"/>
        <v>25.100000000000087</v>
      </c>
      <c r="C253" s="2">
        <v>0</v>
      </c>
    </row>
    <row r="254" spans="2:3" x14ac:dyDescent="0.3">
      <c r="B254" s="2">
        <f t="shared" si="4"/>
        <v>25.200000000000088</v>
      </c>
      <c r="C254" s="2">
        <v>0</v>
      </c>
    </row>
    <row r="255" spans="2:3" x14ac:dyDescent="0.3">
      <c r="B255" s="2">
        <f t="shared" si="4"/>
        <v>25.30000000000009</v>
      </c>
      <c r="C255" s="2">
        <v>0</v>
      </c>
    </row>
    <row r="256" spans="2:3" x14ac:dyDescent="0.3">
      <c r="B256" s="2">
        <f t="shared" si="4"/>
        <v>25.400000000000091</v>
      </c>
      <c r="C256" s="2">
        <v>0</v>
      </c>
    </row>
    <row r="257" spans="2:3" x14ac:dyDescent="0.3">
      <c r="B257" s="2">
        <f t="shared" si="4"/>
        <v>25.500000000000092</v>
      </c>
      <c r="C257" s="2">
        <v>0</v>
      </c>
    </row>
    <row r="258" spans="2:3" x14ac:dyDescent="0.3">
      <c r="B258" s="2">
        <f t="shared" si="4"/>
        <v>25.600000000000094</v>
      </c>
      <c r="C258" s="2">
        <v>0</v>
      </c>
    </row>
    <row r="259" spans="2:3" x14ac:dyDescent="0.3">
      <c r="B259" s="2">
        <f t="shared" si="4"/>
        <v>25.700000000000095</v>
      </c>
      <c r="C259" s="2">
        <v>0</v>
      </c>
    </row>
    <row r="260" spans="2:3" x14ac:dyDescent="0.3">
      <c r="B260" s="2">
        <f t="shared" ref="B260:B323" si="5">B259+0.1</f>
        <v>25.800000000000097</v>
      </c>
      <c r="C260" s="2">
        <v>0</v>
      </c>
    </row>
    <row r="261" spans="2:3" x14ac:dyDescent="0.3">
      <c r="B261" s="2">
        <f t="shared" si="5"/>
        <v>25.900000000000098</v>
      </c>
      <c r="C261" s="2">
        <v>0</v>
      </c>
    </row>
    <row r="262" spans="2:3" x14ac:dyDescent="0.3">
      <c r="B262" s="2">
        <f t="shared" si="5"/>
        <v>26.000000000000099</v>
      </c>
      <c r="C262" s="2">
        <v>0</v>
      </c>
    </row>
    <row r="263" spans="2:3" x14ac:dyDescent="0.3">
      <c r="B263" s="2">
        <f t="shared" si="5"/>
        <v>26.100000000000101</v>
      </c>
      <c r="C263" s="2">
        <v>0</v>
      </c>
    </row>
    <row r="264" spans="2:3" x14ac:dyDescent="0.3">
      <c r="B264" s="2">
        <f t="shared" si="5"/>
        <v>26.200000000000102</v>
      </c>
      <c r="C264" s="2">
        <v>0</v>
      </c>
    </row>
    <row r="265" spans="2:3" x14ac:dyDescent="0.3">
      <c r="B265" s="2">
        <f t="shared" si="5"/>
        <v>26.300000000000104</v>
      </c>
      <c r="C265" s="2">
        <v>0</v>
      </c>
    </row>
    <row r="266" spans="2:3" x14ac:dyDescent="0.3">
      <c r="B266" s="2">
        <f t="shared" si="5"/>
        <v>26.400000000000105</v>
      </c>
      <c r="C266" s="2">
        <v>0</v>
      </c>
    </row>
    <row r="267" spans="2:3" x14ac:dyDescent="0.3">
      <c r="B267" s="2">
        <f t="shared" si="5"/>
        <v>26.500000000000107</v>
      </c>
      <c r="C267" s="2">
        <v>0</v>
      </c>
    </row>
    <row r="268" spans="2:3" x14ac:dyDescent="0.3">
      <c r="B268" s="2">
        <f t="shared" si="5"/>
        <v>26.600000000000108</v>
      </c>
      <c r="C268" s="2">
        <v>0</v>
      </c>
    </row>
    <row r="269" spans="2:3" x14ac:dyDescent="0.3">
      <c r="B269" s="2">
        <f t="shared" si="5"/>
        <v>26.700000000000109</v>
      </c>
      <c r="C269" s="2">
        <v>0</v>
      </c>
    </row>
    <row r="270" spans="2:3" x14ac:dyDescent="0.3">
      <c r="B270" s="2">
        <f t="shared" si="5"/>
        <v>26.800000000000111</v>
      </c>
      <c r="C270" s="2">
        <v>0</v>
      </c>
    </row>
    <row r="271" spans="2:3" x14ac:dyDescent="0.3">
      <c r="B271" s="2">
        <f t="shared" si="5"/>
        <v>26.900000000000112</v>
      </c>
      <c r="C271" s="2">
        <v>0</v>
      </c>
    </row>
    <row r="272" spans="2:3" x14ac:dyDescent="0.3">
      <c r="B272" s="2">
        <f t="shared" si="5"/>
        <v>27.000000000000114</v>
      </c>
      <c r="C272" s="2">
        <v>0</v>
      </c>
    </row>
    <row r="273" spans="2:3" x14ac:dyDescent="0.3">
      <c r="B273" s="2">
        <f t="shared" si="5"/>
        <v>27.100000000000115</v>
      </c>
      <c r="C273" s="2">
        <v>0</v>
      </c>
    </row>
    <row r="274" spans="2:3" x14ac:dyDescent="0.3">
      <c r="B274" s="2">
        <f t="shared" si="5"/>
        <v>27.200000000000117</v>
      </c>
      <c r="C274" s="2">
        <v>0</v>
      </c>
    </row>
    <row r="275" spans="2:3" x14ac:dyDescent="0.3">
      <c r="B275" s="2">
        <f t="shared" si="5"/>
        <v>27.300000000000118</v>
      </c>
      <c r="C275" s="2">
        <v>0</v>
      </c>
    </row>
    <row r="276" spans="2:3" x14ac:dyDescent="0.3">
      <c r="B276" s="2">
        <f t="shared" si="5"/>
        <v>27.400000000000119</v>
      </c>
      <c r="C276" s="2">
        <v>0</v>
      </c>
    </row>
    <row r="277" spans="2:3" x14ac:dyDescent="0.3">
      <c r="B277" s="2">
        <f t="shared" si="5"/>
        <v>27.500000000000121</v>
      </c>
      <c r="C277" s="2">
        <v>0</v>
      </c>
    </row>
    <row r="278" spans="2:3" x14ac:dyDescent="0.3">
      <c r="B278" s="2">
        <f t="shared" si="5"/>
        <v>27.600000000000122</v>
      </c>
      <c r="C278" s="2">
        <v>0</v>
      </c>
    </row>
    <row r="279" spans="2:3" x14ac:dyDescent="0.3">
      <c r="B279" s="2">
        <f t="shared" si="5"/>
        <v>27.700000000000124</v>
      </c>
      <c r="C279" s="2">
        <v>0</v>
      </c>
    </row>
    <row r="280" spans="2:3" x14ac:dyDescent="0.3">
      <c r="B280" s="2">
        <f t="shared" si="5"/>
        <v>27.800000000000125</v>
      </c>
      <c r="C280" s="2">
        <v>0</v>
      </c>
    </row>
    <row r="281" spans="2:3" x14ac:dyDescent="0.3">
      <c r="B281" s="2">
        <f t="shared" si="5"/>
        <v>27.900000000000126</v>
      </c>
      <c r="C281" s="2">
        <v>0</v>
      </c>
    </row>
    <row r="282" spans="2:3" x14ac:dyDescent="0.3">
      <c r="B282" s="2">
        <f t="shared" si="5"/>
        <v>28.000000000000128</v>
      </c>
      <c r="C282" s="2">
        <v>0</v>
      </c>
    </row>
    <row r="283" spans="2:3" x14ac:dyDescent="0.3">
      <c r="B283" s="2">
        <f t="shared" si="5"/>
        <v>28.100000000000129</v>
      </c>
      <c r="C283" s="2">
        <v>0</v>
      </c>
    </row>
    <row r="284" spans="2:3" x14ac:dyDescent="0.3">
      <c r="B284" s="2">
        <f t="shared" si="5"/>
        <v>28.200000000000131</v>
      </c>
      <c r="C284" s="2">
        <v>0</v>
      </c>
    </row>
    <row r="285" spans="2:3" x14ac:dyDescent="0.3">
      <c r="B285" s="2">
        <f t="shared" si="5"/>
        <v>28.300000000000132</v>
      </c>
      <c r="C285" s="2">
        <v>0</v>
      </c>
    </row>
    <row r="286" spans="2:3" x14ac:dyDescent="0.3">
      <c r="B286" s="2">
        <f t="shared" si="5"/>
        <v>28.400000000000134</v>
      </c>
      <c r="C286" s="2">
        <v>0</v>
      </c>
    </row>
    <row r="287" spans="2:3" x14ac:dyDescent="0.3">
      <c r="B287" s="2">
        <f t="shared" si="5"/>
        <v>28.500000000000135</v>
      </c>
      <c r="C287" s="2">
        <v>0</v>
      </c>
    </row>
    <row r="288" spans="2:3" x14ac:dyDescent="0.3">
      <c r="B288" s="2">
        <f t="shared" si="5"/>
        <v>28.600000000000136</v>
      </c>
      <c r="C288" s="2">
        <v>0</v>
      </c>
    </row>
    <row r="289" spans="2:3" x14ac:dyDescent="0.3">
      <c r="B289" s="2">
        <f t="shared" si="5"/>
        <v>28.700000000000138</v>
      </c>
      <c r="C289" s="2">
        <v>0</v>
      </c>
    </row>
    <row r="290" spans="2:3" x14ac:dyDescent="0.3">
      <c r="B290" s="2">
        <f t="shared" si="5"/>
        <v>28.800000000000139</v>
      </c>
      <c r="C290" s="2">
        <v>0</v>
      </c>
    </row>
    <row r="291" spans="2:3" x14ac:dyDescent="0.3">
      <c r="B291" s="2">
        <f t="shared" si="5"/>
        <v>28.900000000000141</v>
      </c>
      <c r="C291" s="2">
        <v>0</v>
      </c>
    </row>
    <row r="292" spans="2:3" x14ac:dyDescent="0.3">
      <c r="B292" s="2">
        <f t="shared" si="5"/>
        <v>29.000000000000142</v>
      </c>
      <c r="C292" s="2">
        <v>0</v>
      </c>
    </row>
    <row r="293" spans="2:3" x14ac:dyDescent="0.3">
      <c r="B293" s="2">
        <f t="shared" si="5"/>
        <v>29.100000000000144</v>
      </c>
      <c r="C293" s="2">
        <v>0</v>
      </c>
    </row>
    <row r="294" spans="2:3" x14ac:dyDescent="0.3">
      <c r="B294" s="2">
        <f t="shared" si="5"/>
        <v>29.200000000000145</v>
      </c>
      <c r="C294" s="2">
        <v>0</v>
      </c>
    </row>
    <row r="295" spans="2:3" x14ac:dyDescent="0.3">
      <c r="B295" s="2">
        <f t="shared" si="5"/>
        <v>29.300000000000146</v>
      </c>
      <c r="C295" s="2">
        <v>0</v>
      </c>
    </row>
    <row r="296" spans="2:3" x14ac:dyDescent="0.3">
      <c r="B296" s="2">
        <f t="shared" si="5"/>
        <v>29.400000000000148</v>
      </c>
      <c r="C296" s="2">
        <v>0</v>
      </c>
    </row>
    <row r="297" spans="2:3" x14ac:dyDescent="0.3">
      <c r="B297" s="2">
        <f t="shared" si="5"/>
        <v>29.500000000000149</v>
      </c>
      <c r="C297" s="2">
        <v>0</v>
      </c>
    </row>
    <row r="298" spans="2:3" x14ac:dyDescent="0.3">
      <c r="B298" s="2">
        <f t="shared" si="5"/>
        <v>29.600000000000151</v>
      </c>
      <c r="C298" s="2">
        <v>0</v>
      </c>
    </row>
    <row r="299" spans="2:3" x14ac:dyDescent="0.3">
      <c r="B299" s="2">
        <f t="shared" si="5"/>
        <v>29.700000000000152</v>
      </c>
      <c r="C299" s="2">
        <v>0</v>
      </c>
    </row>
    <row r="300" spans="2:3" x14ac:dyDescent="0.3">
      <c r="B300" s="2">
        <f t="shared" si="5"/>
        <v>29.800000000000153</v>
      </c>
      <c r="C300" s="2">
        <v>0</v>
      </c>
    </row>
    <row r="301" spans="2:3" x14ac:dyDescent="0.3">
      <c r="B301" s="2">
        <f t="shared" si="5"/>
        <v>29.900000000000155</v>
      </c>
      <c r="C301" s="2">
        <v>0</v>
      </c>
    </row>
    <row r="302" spans="2:3" x14ac:dyDescent="0.3">
      <c r="B302" s="2">
        <f t="shared" si="5"/>
        <v>30.000000000000156</v>
      </c>
      <c r="C302" s="2">
        <v>0</v>
      </c>
    </row>
    <row r="303" spans="2:3" x14ac:dyDescent="0.3">
      <c r="B303" s="2">
        <f t="shared" si="5"/>
        <v>30.100000000000158</v>
      </c>
      <c r="C303" s="2">
        <v>0</v>
      </c>
    </row>
    <row r="304" spans="2:3" x14ac:dyDescent="0.3">
      <c r="B304" s="2">
        <f t="shared" si="5"/>
        <v>30.200000000000159</v>
      </c>
      <c r="C304" s="2">
        <v>0</v>
      </c>
    </row>
    <row r="305" spans="2:3" x14ac:dyDescent="0.3">
      <c r="B305" s="2">
        <f t="shared" si="5"/>
        <v>30.300000000000161</v>
      </c>
      <c r="C305" s="2">
        <v>0</v>
      </c>
    </row>
    <row r="306" spans="2:3" x14ac:dyDescent="0.3">
      <c r="B306" s="2">
        <f t="shared" si="5"/>
        <v>30.400000000000162</v>
      </c>
      <c r="C306" s="2">
        <v>0</v>
      </c>
    </row>
    <row r="307" spans="2:3" x14ac:dyDescent="0.3">
      <c r="B307" s="2">
        <f t="shared" si="5"/>
        <v>30.500000000000163</v>
      </c>
      <c r="C307" s="2">
        <v>0</v>
      </c>
    </row>
    <row r="308" spans="2:3" x14ac:dyDescent="0.3">
      <c r="B308" s="2">
        <f t="shared" si="5"/>
        <v>30.600000000000165</v>
      </c>
      <c r="C308" s="2">
        <v>0</v>
      </c>
    </row>
    <row r="309" spans="2:3" x14ac:dyDescent="0.3">
      <c r="B309" s="2">
        <f t="shared" si="5"/>
        <v>30.700000000000166</v>
      </c>
      <c r="C309" s="2">
        <v>0</v>
      </c>
    </row>
    <row r="310" spans="2:3" x14ac:dyDescent="0.3">
      <c r="B310" s="2">
        <f t="shared" si="5"/>
        <v>30.800000000000168</v>
      </c>
      <c r="C310" s="2">
        <v>0</v>
      </c>
    </row>
    <row r="311" spans="2:3" x14ac:dyDescent="0.3">
      <c r="B311" s="2">
        <f t="shared" si="5"/>
        <v>30.900000000000169</v>
      </c>
      <c r="C311" s="2">
        <v>0</v>
      </c>
    </row>
    <row r="312" spans="2:3" x14ac:dyDescent="0.3">
      <c r="B312" s="2">
        <f t="shared" si="5"/>
        <v>31.000000000000171</v>
      </c>
      <c r="C312" s="2">
        <v>0</v>
      </c>
    </row>
    <row r="313" spans="2:3" x14ac:dyDescent="0.3">
      <c r="B313" s="2">
        <f t="shared" si="5"/>
        <v>31.100000000000172</v>
      </c>
      <c r="C313" s="2">
        <v>0</v>
      </c>
    </row>
    <row r="314" spans="2:3" x14ac:dyDescent="0.3">
      <c r="B314" s="2">
        <f t="shared" si="5"/>
        <v>31.200000000000173</v>
      </c>
      <c r="C314" s="2">
        <v>0</v>
      </c>
    </row>
    <row r="315" spans="2:3" x14ac:dyDescent="0.3">
      <c r="B315" s="2">
        <f t="shared" si="5"/>
        <v>31.300000000000175</v>
      </c>
      <c r="C315" s="2">
        <v>0</v>
      </c>
    </row>
    <row r="316" spans="2:3" x14ac:dyDescent="0.3">
      <c r="B316" s="2">
        <f t="shared" si="5"/>
        <v>31.400000000000176</v>
      </c>
      <c r="C316" s="2">
        <v>0</v>
      </c>
    </row>
    <row r="317" spans="2:3" x14ac:dyDescent="0.3">
      <c r="B317" s="2">
        <f t="shared" si="5"/>
        <v>31.500000000000178</v>
      </c>
      <c r="C317" s="2">
        <v>0</v>
      </c>
    </row>
    <row r="318" spans="2:3" x14ac:dyDescent="0.3">
      <c r="B318" s="2">
        <f t="shared" si="5"/>
        <v>31.600000000000179</v>
      </c>
      <c r="C318" s="2">
        <v>0</v>
      </c>
    </row>
    <row r="319" spans="2:3" x14ac:dyDescent="0.3">
      <c r="B319" s="2">
        <f t="shared" si="5"/>
        <v>31.70000000000018</v>
      </c>
      <c r="C319" s="2">
        <v>0</v>
      </c>
    </row>
    <row r="320" spans="2:3" x14ac:dyDescent="0.3">
      <c r="B320" s="2">
        <f t="shared" si="5"/>
        <v>31.800000000000182</v>
      </c>
      <c r="C320" s="2">
        <v>0</v>
      </c>
    </row>
    <row r="321" spans="2:3" x14ac:dyDescent="0.3">
      <c r="B321" s="2">
        <f t="shared" si="5"/>
        <v>31.900000000000183</v>
      </c>
      <c r="C321" s="2">
        <v>0</v>
      </c>
    </row>
    <row r="322" spans="2:3" x14ac:dyDescent="0.3">
      <c r="B322" s="2">
        <f t="shared" si="5"/>
        <v>32.000000000000185</v>
      </c>
      <c r="C322" s="2">
        <v>0</v>
      </c>
    </row>
    <row r="323" spans="2:3" x14ac:dyDescent="0.3">
      <c r="B323" s="2">
        <f t="shared" si="5"/>
        <v>32.100000000000186</v>
      </c>
      <c r="C323" s="2">
        <v>0</v>
      </c>
    </row>
    <row r="324" spans="2:3" x14ac:dyDescent="0.3">
      <c r="B324" s="2">
        <f t="shared" ref="B324:B387" si="6">B323+0.1</f>
        <v>32.200000000000188</v>
      </c>
      <c r="C324" s="2">
        <v>0</v>
      </c>
    </row>
    <row r="325" spans="2:3" x14ac:dyDescent="0.3">
      <c r="B325" s="2">
        <f t="shared" si="6"/>
        <v>32.300000000000189</v>
      </c>
      <c r="C325" s="2">
        <v>0</v>
      </c>
    </row>
    <row r="326" spans="2:3" x14ac:dyDescent="0.3">
      <c r="B326" s="2">
        <f t="shared" si="6"/>
        <v>32.40000000000019</v>
      </c>
      <c r="C326" s="2">
        <v>0</v>
      </c>
    </row>
    <row r="327" spans="2:3" x14ac:dyDescent="0.3">
      <c r="B327" s="2">
        <f t="shared" si="6"/>
        <v>32.500000000000192</v>
      </c>
      <c r="C327" s="2">
        <v>0</v>
      </c>
    </row>
    <row r="328" spans="2:3" x14ac:dyDescent="0.3">
      <c r="B328" s="2">
        <f t="shared" si="6"/>
        <v>32.600000000000193</v>
      </c>
      <c r="C328" s="2">
        <v>0</v>
      </c>
    </row>
    <row r="329" spans="2:3" x14ac:dyDescent="0.3">
      <c r="B329" s="2">
        <f t="shared" si="6"/>
        <v>32.700000000000195</v>
      </c>
      <c r="C329" s="2">
        <v>0</v>
      </c>
    </row>
    <row r="330" spans="2:3" x14ac:dyDescent="0.3">
      <c r="B330" s="2">
        <f t="shared" si="6"/>
        <v>32.800000000000196</v>
      </c>
      <c r="C330" s="2">
        <v>0</v>
      </c>
    </row>
    <row r="331" spans="2:3" x14ac:dyDescent="0.3">
      <c r="B331" s="2">
        <f t="shared" si="6"/>
        <v>32.900000000000198</v>
      </c>
      <c r="C331" s="2">
        <v>0</v>
      </c>
    </row>
    <row r="332" spans="2:3" x14ac:dyDescent="0.3">
      <c r="B332" s="2">
        <f t="shared" si="6"/>
        <v>33.000000000000199</v>
      </c>
      <c r="C332" s="2">
        <v>0</v>
      </c>
    </row>
    <row r="333" spans="2:3" x14ac:dyDescent="0.3">
      <c r="B333" s="2">
        <f t="shared" si="6"/>
        <v>33.1000000000002</v>
      </c>
      <c r="C333" s="2">
        <v>0</v>
      </c>
    </row>
    <row r="334" spans="2:3" x14ac:dyDescent="0.3">
      <c r="B334" s="2">
        <f t="shared" si="6"/>
        <v>33.200000000000202</v>
      </c>
      <c r="C334" s="2">
        <v>0</v>
      </c>
    </row>
    <row r="335" spans="2:3" x14ac:dyDescent="0.3">
      <c r="B335" s="2">
        <f t="shared" si="6"/>
        <v>33.300000000000203</v>
      </c>
      <c r="C335" s="2">
        <v>0</v>
      </c>
    </row>
    <row r="336" spans="2:3" x14ac:dyDescent="0.3">
      <c r="B336" s="2">
        <f t="shared" si="6"/>
        <v>33.400000000000205</v>
      </c>
      <c r="C336" s="2">
        <v>0</v>
      </c>
    </row>
    <row r="337" spans="2:3" x14ac:dyDescent="0.3">
      <c r="B337" s="2">
        <f t="shared" si="6"/>
        <v>33.500000000000206</v>
      </c>
      <c r="C337" s="2">
        <v>0</v>
      </c>
    </row>
    <row r="338" spans="2:3" x14ac:dyDescent="0.3">
      <c r="B338" s="2">
        <f t="shared" si="6"/>
        <v>33.600000000000207</v>
      </c>
      <c r="C338" s="2">
        <v>0</v>
      </c>
    </row>
    <row r="339" spans="2:3" x14ac:dyDescent="0.3">
      <c r="B339" s="2">
        <f t="shared" si="6"/>
        <v>33.700000000000209</v>
      </c>
      <c r="C339" s="2">
        <v>0</v>
      </c>
    </row>
    <row r="340" spans="2:3" x14ac:dyDescent="0.3">
      <c r="B340" s="2">
        <f t="shared" si="6"/>
        <v>33.80000000000021</v>
      </c>
      <c r="C340" s="2">
        <v>0</v>
      </c>
    </row>
    <row r="341" spans="2:3" x14ac:dyDescent="0.3">
      <c r="B341" s="2">
        <f t="shared" si="6"/>
        <v>33.900000000000212</v>
      </c>
      <c r="C341" s="2">
        <v>0</v>
      </c>
    </row>
    <row r="342" spans="2:3" x14ac:dyDescent="0.3">
      <c r="B342" s="2">
        <f t="shared" si="6"/>
        <v>34.000000000000213</v>
      </c>
      <c r="C342" s="2">
        <v>0</v>
      </c>
    </row>
    <row r="343" spans="2:3" x14ac:dyDescent="0.3">
      <c r="B343" s="2">
        <f t="shared" si="6"/>
        <v>34.100000000000215</v>
      </c>
      <c r="C343" s="2">
        <v>0</v>
      </c>
    </row>
    <row r="344" spans="2:3" x14ac:dyDescent="0.3">
      <c r="B344" s="2">
        <f t="shared" si="6"/>
        <v>34.200000000000216</v>
      </c>
      <c r="C344" s="2">
        <v>0</v>
      </c>
    </row>
    <row r="345" spans="2:3" x14ac:dyDescent="0.3">
      <c r="B345" s="2">
        <f t="shared" si="6"/>
        <v>34.300000000000217</v>
      </c>
      <c r="C345" s="2">
        <v>0</v>
      </c>
    </row>
    <row r="346" spans="2:3" x14ac:dyDescent="0.3">
      <c r="B346" s="2">
        <f t="shared" si="6"/>
        <v>34.400000000000219</v>
      </c>
      <c r="C346" s="2">
        <v>0</v>
      </c>
    </row>
    <row r="347" spans="2:3" x14ac:dyDescent="0.3">
      <c r="B347" s="2">
        <f t="shared" si="6"/>
        <v>34.50000000000022</v>
      </c>
      <c r="C347" s="2">
        <v>0</v>
      </c>
    </row>
    <row r="348" spans="2:3" x14ac:dyDescent="0.3">
      <c r="B348" s="2">
        <f t="shared" si="6"/>
        <v>34.600000000000222</v>
      </c>
      <c r="C348" s="2">
        <v>0</v>
      </c>
    </row>
    <row r="349" spans="2:3" x14ac:dyDescent="0.3">
      <c r="B349" s="2">
        <f t="shared" si="6"/>
        <v>34.700000000000223</v>
      </c>
      <c r="C349" s="2">
        <v>0</v>
      </c>
    </row>
    <row r="350" spans="2:3" x14ac:dyDescent="0.3">
      <c r="B350" s="2">
        <f t="shared" si="6"/>
        <v>34.800000000000225</v>
      </c>
      <c r="C350" s="2">
        <v>0</v>
      </c>
    </row>
    <row r="351" spans="2:3" x14ac:dyDescent="0.3">
      <c r="B351" s="2">
        <f t="shared" si="6"/>
        <v>34.900000000000226</v>
      </c>
      <c r="C351" s="2">
        <v>0</v>
      </c>
    </row>
    <row r="352" spans="2:3" x14ac:dyDescent="0.3">
      <c r="B352" s="2">
        <f t="shared" si="6"/>
        <v>35.000000000000227</v>
      </c>
      <c r="C352" s="2">
        <v>0</v>
      </c>
    </row>
    <row r="353" spans="2:3" x14ac:dyDescent="0.3">
      <c r="B353" s="2">
        <f t="shared" si="6"/>
        <v>35.100000000000229</v>
      </c>
      <c r="C353" s="2">
        <v>0</v>
      </c>
    </row>
    <row r="354" spans="2:3" x14ac:dyDescent="0.3">
      <c r="B354" s="2">
        <f t="shared" si="6"/>
        <v>35.20000000000023</v>
      </c>
      <c r="C354" s="2">
        <v>0</v>
      </c>
    </row>
    <row r="355" spans="2:3" x14ac:dyDescent="0.3">
      <c r="B355" s="2">
        <f t="shared" si="6"/>
        <v>35.300000000000232</v>
      </c>
      <c r="C355" s="2">
        <v>0</v>
      </c>
    </row>
    <row r="356" spans="2:3" x14ac:dyDescent="0.3">
      <c r="B356" s="2">
        <f t="shared" si="6"/>
        <v>35.400000000000233</v>
      </c>
      <c r="C356" s="2">
        <v>0</v>
      </c>
    </row>
    <row r="357" spans="2:3" x14ac:dyDescent="0.3">
      <c r="B357" s="2">
        <f t="shared" si="6"/>
        <v>35.500000000000234</v>
      </c>
      <c r="C357" s="2">
        <v>0</v>
      </c>
    </row>
    <row r="358" spans="2:3" x14ac:dyDescent="0.3">
      <c r="B358" s="2">
        <f t="shared" si="6"/>
        <v>35.600000000000236</v>
      </c>
      <c r="C358" s="2">
        <v>0</v>
      </c>
    </row>
    <row r="359" spans="2:3" x14ac:dyDescent="0.3">
      <c r="B359" s="2">
        <f t="shared" si="6"/>
        <v>35.700000000000237</v>
      </c>
      <c r="C359" s="2">
        <v>0</v>
      </c>
    </row>
    <row r="360" spans="2:3" x14ac:dyDescent="0.3">
      <c r="B360" s="2">
        <f t="shared" si="6"/>
        <v>35.800000000000239</v>
      </c>
      <c r="C360" s="2">
        <v>0</v>
      </c>
    </row>
    <row r="361" spans="2:3" x14ac:dyDescent="0.3">
      <c r="B361" s="2">
        <f t="shared" si="6"/>
        <v>35.90000000000024</v>
      </c>
      <c r="C361" s="2">
        <v>0</v>
      </c>
    </row>
    <row r="362" spans="2:3" x14ac:dyDescent="0.3">
      <c r="B362" s="2">
        <f t="shared" si="6"/>
        <v>36.000000000000242</v>
      </c>
      <c r="C362" s="2">
        <v>0</v>
      </c>
    </row>
    <row r="363" spans="2:3" x14ac:dyDescent="0.3">
      <c r="B363" s="2">
        <f t="shared" si="6"/>
        <v>36.100000000000243</v>
      </c>
      <c r="C363" s="2">
        <v>0</v>
      </c>
    </row>
    <row r="364" spans="2:3" x14ac:dyDescent="0.3">
      <c r="B364" s="2">
        <f t="shared" si="6"/>
        <v>36.200000000000244</v>
      </c>
      <c r="C364" s="2">
        <v>0</v>
      </c>
    </row>
    <row r="365" spans="2:3" x14ac:dyDescent="0.3">
      <c r="B365" s="2">
        <f t="shared" si="6"/>
        <v>36.300000000000246</v>
      </c>
      <c r="C365" s="2">
        <v>0</v>
      </c>
    </row>
    <row r="366" spans="2:3" x14ac:dyDescent="0.3">
      <c r="B366" s="2">
        <f t="shared" si="6"/>
        <v>36.400000000000247</v>
      </c>
      <c r="C366" s="2">
        <v>0</v>
      </c>
    </row>
    <row r="367" spans="2:3" x14ac:dyDescent="0.3">
      <c r="B367" s="2">
        <f t="shared" si="6"/>
        <v>36.500000000000249</v>
      </c>
      <c r="C367" s="2">
        <v>0</v>
      </c>
    </row>
    <row r="368" spans="2:3" x14ac:dyDescent="0.3">
      <c r="B368" s="2">
        <f t="shared" si="6"/>
        <v>36.60000000000025</v>
      </c>
      <c r="C368" s="2">
        <v>0</v>
      </c>
    </row>
    <row r="369" spans="2:3" x14ac:dyDescent="0.3">
      <c r="B369" s="2">
        <f t="shared" si="6"/>
        <v>36.700000000000252</v>
      </c>
      <c r="C369" s="2">
        <v>0</v>
      </c>
    </row>
    <row r="370" spans="2:3" x14ac:dyDescent="0.3">
      <c r="B370" s="2">
        <f t="shared" si="6"/>
        <v>36.800000000000253</v>
      </c>
      <c r="C370" s="2">
        <v>0</v>
      </c>
    </row>
    <row r="371" spans="2:3" x14ac:dyDescent="0.3">
      <c r="B371" s="2">
        <f t="shared" si="6"/>
        <v>36.900000000000254</v>
      </c>
      <c r="C371" s="2">
        <v>0</v>
      </c>
    </row>
    <row r="372" spans="2:3" x14ac:dyDescent="0.3">
      <c r="B372" s="2">
        <f t="shared" si="6"/>
        <v>37.000000000000256</v>
      </c>
      <c r="C372" s="2">
        <v>0</v>
      </c>
    </row>
    <row r="373" spans="2:3" x14ac:dyDescent="0.3">
      <c r="B373" s="2">
        <f t="shared" si="6"/>
        <v>37.100000000000257</v>
      </c>
      <c r="C373" s="2">
        <v>0</v>
      </c>
    </row>
    <row r="374" spans="2:3" x14ac:dyDescent="0.3">
      <c r="B374" s="2">
        <f t="shared" si="6"/>
        <v>37.200000000000259</v>
      </c>
      <c r="C374" s="2">
        <v>0</v>
      </c>
    </row>
    <row r="375" spans="2:3" x14ac:dyDescent="0.3">
      <c r="B375" s="2">
        <f t="shared" si="6"/>
        <v>37.30000000000026</v>
      </c>
      <c r="C375" s="2">
        <v>0</v>
      </c>
    </row>
    <row r="376" spans="2:3" x14ac:dyDescent="0.3">
      <c r="B376" s="2">
        <f t="shared" si="6"/>
        <v>37.400000000000261</v>
      </c>
      <c r="C376" s="2">
        <v>0</v>
      </c>
    </row>
    <row r="377" spans="2:3" x14ac:dyDescent="0.3">
      <c r="B377" s="2">
        <f t="shared" si="6"/>
        <v>37.500000000000263</v>
      </c>
      <c r="C377" s="2">
        <v>0</v>
      </c>
    </row>
    <row r="378" spans="2:3" x14ac:dyDescent="0.3">
      <c r="B378" s="2">
        <f t="shared" si="6"/>
        <v>37.600000000000264</v>
      </c>
      <c r="C378" s="2">
        <v>0</v>
      </c>
    </row>
    <row r="379" spans="2:3" x14ac:dyDescent="0.3">
      <c r="B379" s="2">
        <f t="shared" si="6"/>
        <v>37.700000000000266</v>
      </c>
      <c r="C379" s="2">
        <v>0</v>
      </c>
    </row>
    <row r="380" spans="2:3" x14ac:dyDescent="0.3">
      <c r="B380" s="2">
        <f t="shared" si="6"/>
        <v>37.800000000000267</v>
      </c>
      <c r="C380" s="2">
        <v>0</v>
      </c>
    </row>
    <row r="381" spans="2:3" x14ac:dyDescent="0.3">
      <c r="B381" s="2">
        <f t="shared" si="6"/>
        <v>37.900000000000269</v>
      </c>
      <c r="C381" s="2">
        <v>0</v>
      </c>
    </row>
    <row r="382" spans="2:3" x14ac:dyDescent="0.3">
      <c r="B382" s="2">
        <f t="shared" si="6"/>
        <v>38.00000000000027</v>
      </c>
      <c r="C382" s="2">
        <v>0</v>
      </c>
    </row>
    <row r="383" spans="2:3" x14ac:dyDescent="0.3">
      <c r="B383" s="2">
        <f t="shared" si="6"/>
        <v>38.100000000000271</v>
      </c>
      <c r="C383" s="2">
        <v>0</v>
      </c>
    </row>
    <row r="384" spans="2:3" x14ac:dyDescent="0.3">
      <c r="B384" s="2">
        <f t="shared" si="6"/>
        <v>38.200000000000273</v>
      </c>
      <c r="C384" s="2">
        <v>0</v>
      </c>
    </row>
    <row r="385" spans="2:3" x14ac:dyDescent="0.3">
      <c r="B385" s="2">
        <f t="shared" si="6"/>
        <v>38.300000000000274</v>
      </c>
      <c r="C385" s="2">
        <v>0</v>
      </c>
    </row>
    <row r="386" spans="2:3" x14ac:dyDescent="0.3">
      <c r="B386" s="2">
        <f t="shared" si="6"/>
        <v>38.400000000000276</v>
      </c>
      <c r="C386" s="2">
        <v>0</v>
      </c>
    </row>
    <row r="387" spans="2:3" x14ac:dyDescent="0.3">
      <c r="B387" s="2">
        <f t="shared" si="6"/>
        <v>38.500000000000277</v>
      </c>
      <c r="C387" s="2">
        <v>0</v>
      </c>
    </row>
    <row r="388" spans="2:3" x14ac:dyDescent="0.3">
      <c r="B388" s="2">
        <f t="shared" ref="B388:B402" si="7">B387+0.1</f>
        <v>38.600000000000279</v>
      </c>
      <c r="C388" s="2">
        <v>0</v>
      </c>
    </row>
    <row r="389" spans="2:3" x14ac:dyDescent="0.3">
      <c r="B389" s="2">
        <f t="shared" si="7"/>
        <v>38.70000000000028</v>
      </c>
      <c r="C389" s="2">
        <v>0</v>
      </c>
    </row>
    <row r="390" spans="2:3" x14ac:dyDescent="0.3">
      <c r="B390" s="2">
        <f t="shared" si="7"/>
        <v>38.800000000000281</v>
      </c>
      <c r="C390" s="2">
        <v>0</v>
      </c>
    </row>
    <row r="391" spans="2:3" x14ac:dyDescent="0.3">
      <c r="B391" s="2">
        <f t="shared" si="7"/>
        <v>38.900000000000283</v>
      </c>
      <c r="C391" s="2">
        <v>0</v>
      </c>
    </row>
    <row r="392" spans="2:3" x14ac:dyDescent="0.3">
      <c r="B392" s="2">
        <f t="shared" si="7"/>
        <v>39.000000000000284</v>
      </c>
      <c r="C392" s="2">
        <v>0</v>
      </c>
    </row>
    <row r="393" spans="2:3" x14ac:dyDescent="0.3">
      <c r="B393" s="2">
        <f t="shared" si="7"/>
        <v>39.100000000000286</v>
      </c>
      <c r="C393" s="2">
        <v>0</v>
      </c>
    </row>
    <row r="394" spans="2:3" x14ac:dyDescent="0.3">
      <c r="B394" s="2">
        <f t="shared" si="7"/>
        <v>39.200000000000287</v>
      </c>
      <c r="C394" s="2">
        <v>0</v>
      </c>
    </row>
    <row r="395" spans="2:3" x14ac:dyDescent="0.3">
      <c r="B395" s="2">
        <f t="shared" si="7"/>
        <v>39.300000000000288</v>
      </c>
      <c r="C395" s="2">
        <v>0</v>
      </c>
    </row>
    <row r="396" spans="2:3" x14ac:dyDescent="0.3">
      <c r="B396" s="2">
        <f t="shared" si="7"/>
        <v>39.40000000000029</v>
      </c>
      <c r="C396" s="2">
        <v>0</v>
      </c>
    </row>
    <row r="397" spans="2:3" x14ac:dyDescent="0.3">
      <c r="B397" s="2">
        <f t="shared" si="7"/>
        <v>39.500000000000291</v>
      </c>
      <c r="C397" s="2">
        <v>0</v>
      </c>
    </row>
    <row r="398" spans="2:3" x14ac:dyDescent="0.3">
      <c r="B398" s="2">
        <f t="shared" si="7"/>
        <v>39.600000000000293</v>
      </c>
      <c r="C398" s="2">
        <v>0</v>
      </c>
    </row>
    <row r="399" spans="2:3" x14ac:dyDescent="0.3">
      <c r="B399" s="2">
        <f t="shared" si="7"/>
        <v>39.700000000000294</v>
      </c>
      <c r="C399" s="2">
        <v>0</v>
      </c>
    </row>
    <row r="400" spans="2:3" x14ac:dyDescent="0.3">
      <c r="B400" s="2">
        <f t="shared" si="7"/>
        <v>39.800000000000296</v>
      </c>
      <c r="C400" s="2">
        <v>0</v>
      </c>
    </row>
    <row r="401" spans="2:3" x14ac:dyDescent="0.3">
      <c r="B401" s="2">
        <f t="shared" si="7"/>
        <v>39.900000000000297</v>
      </c>
      <c r="C401" s="2">
        <v>0</v>
      </c>
    </row>
    <row r="402" spans="2:3" x14ac:dyDescent="0.3">
      <c r="B402" s="2">
        <f t="shared" si="7"/>
        <v>40.000000000000298</v>
      </c>
      <c r="C402" s="2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EA86A-2F69-430E-B34F-C352FEDE5710}">
  <dimension ref="A1:AC402"/>
  <sheetViews>
    <sheetView zoomScale="83" workbookViewId="0">
      <selection activeCell="W31" sqref="W31"/>
    </sheetView>
  </sheetViews>
  <sheetFormatPr defaultRowHeight="14.4" x14ac:dyDescent="0.3"/>
  <cols>
    <col min="1" max="1" width="18.21875" customWidth="1"/>
    <col min="2" max="2" width="9" bestFit="1" customWidth="1"/>
    <col min="6" max="6" width="16.109375" customWidth="1"/>
    <col min="7" max="7" width="6.77734375" customWidth="1"/>
    <col min="8" max="8" width="6.5546875" customWidth="1"/>
    <col min="9" max="9" width="6.33203125" customWidth="1"/>
    <col min="10" max="10" width="6.21875" customWidth="1"/>
    <col min="11" max="11" width="6.88671875" customWidth="1"/>
    <col min="12" max="12" width="6.6640625" customWidth="1"/>
    <col min="13" max="13" width="6.21875" customWidth="1"/>
    <col min="14" max="14" width="6.5546875" customWidth="1"/>
    <col min="15" max="16" width="6.44140625" customWidth="1"/>
    <col min="17" max="17" width="6.109375" customWidth="1"/>
    <col min="18" max="19" width="6.21875" customWidth="1"/>
    <col min="20" max="20" width="6.77734375" customWidth="1"/>
    <col min="21" max="21" width="11.33203125" customWidth="1"/>
    <col min="22" max="22" width="6.5546875" customWidth="1"/>
    <col min="23" max="23" width="13.44140625" customWidth="1"/>
    <col min="24" max="24" width="7.77734375" customWidth="1"/>
    <col min="25" max="25" width="6.77734375" customWidth="1"/>
    <col min="26" max="26" width="5.88671875" customWidth="1"/>
    <col min="27" max="27" width="6.88671875" customWidth="1"/>
    <col min="28" max="28" width="6.21875" customWidth="1"/>
  </cols>
  <sheetData>
    <row r="1" spans="1:29" x14ac:dyDescent="0.3">
      <c r="A1" s="12" t="s">
        <v>11</v>
      </c>
      <c r="B1" s="2" t="s">
        <v>8</v>
      </c>
      <c r="C1" s="2" t="s">
        <v>7</v>
      </c>
      <c r="E1" s="6" t="s">
        <v>5</v>
      </c>
      <c r="F1" s="22" t="s">
        <v>25</v>
      </c>
      <c r="AC1" s="13" t="s">
        <v>21</v>
      </c>
    </row>
    <row r="2" spans="1:29" x14ac:dyDescent="0.3">
      <c r="A2" t="s">
        <v>9</v>
      </c>
      <c r="B2" s="2">
        <v>0</v>
      </c>
      <c r="C2" s="2">
        <v>0</v>
      </c>
      <c r="E2" s="1"/>
      <c r="F2" s="9">
        <f>COUNTA(AD1:IA1)</f>
        <v>0</v>
      </c>
      <c r="G2" s="4">
        <v>2</v>
      </c>
      <c r="H2" s="4" t="s">
        <v>2</v>
      </c>
      <c r="I2" s="4">
        <v>3</v>
      </c>
      <c r="J2" s="4" t="s">
        <v>2</v>
      </c>
      <c r="K2" s="4">
        <v>4</v>
      </c>
      <c r="L2" s="4" t="s">
        <v>2</v>
      </c>
      <c r="M2" s="4">
        <v>5</v>
      </c>
      <c r="N2" s="4" t="s">
        <v>2</v>
      </c>
      <c r="O2" s="4">
        <v>6</v>
      </c>
      <c r="P2" s="4" t="s">
        <v>2</v>
      </c>
      <c r="Q2" s="4">
        <v>7</v>
      </c>
      <c r="R2" s="4" t="s">
        <v>2</v>
      </c>
      <c r="S2" s="4">
        <v>8</v>
      </c>
      <c r="T2" s="4" t="s">
        <v>2</v>
      </c>
      <c r="U2" s="4">
        <v>9</v>
      </c>
      <c r="V2" s="4" t="s">
        <v>2</v>
      </c>
      <c r="W2" s="4">
        <v>10</v>
      </c>
      <c r="X2" s="4" t="s">
        <v>2</v>
      </c>
      <c r="Y2" s="4">
        <v>11</v>
      </c>
      <c r="Z2" s="7" t="s">
        <v>2</v>
      </c>
      <c r="AA2" s="4">
        <v>12</v>
      </c>
    </row>
    <row r="3" spans="1:29" x14ac:dyDescent="0.3">
      <c r="A3" s="10" t="s">
        <v>12</v>
      </c>
      <c r="B3" s="2">
        <f>B2+0.1</f>
        <v>0.1</v>
      </c>
      <c r="C3" s="2">
        <v>0</v>
      </c>
      <c r="E3" s="1"/>
      <c r="F3" s="3" t="s">
        <v>15</v>
      </c>
      <c r="G3" s="21">
        <f ca="1">IFERROR(SUM(
  TESTSYNCH(1,1),
  TESTSYNCH(5,1),
  TESTSYNCH(9,1),
  TESTSYNCH(13,1),
  TESTSYNCH(17,1),
  TESTSYNCH(21,1),
  TESTSYNCH(25,1),
  TESTSYNCH(29,1),
  TESTSYNCH(33,1),
  TESTSYNCH(37,1),
  TESTSYNCH(41,1),
  TESTSYNCH(45,1),
  TESTSYNCH(49,1),
  TESTSYNCH(53,1),
  TESTSYNCH(57,1),
  TESTSYNCH(61,1),
  TESTSYNCH(65,1),
  TESTSYNCH(69,1),
  TESTSYNCH(73,1),
  TESTSYNCH(77,1),
  TESTSYNCH(81,1),
  TESTSYNCH(85,1),
  TESTSYNCH(89,1),
  TESTSYNCH(93,1),
  TESTSYNCH(97,1),
  TESTSYNCH(101,1),
  TESTSYNCH(105,1),
  TESTSYNCH(109,1),
  TESTSYNCH(113,1)
) / F2,0)</f>
        <v>0</v>
      </c>
      <c r="H3" s="21"/>
      <c r="I3" s="21">
        <f ca="1">IFERROR(SUM(
  TESTSYNCH(1,1.5),
  TESTSYNCH(5,1.5),
  TESTSYNCH(9,1.5),
  TESTSYNCH(13,1.5),
  TESTSYNCH(17,1.5),
  TESTSYNCH(21,1.5),
  TESTSYNCH(25,1.5),
  TESTSYNCH(29,1.5),
  TESTSYNCH(33,1.5),
  TESTSYNCH(37,1.5),
  TESTSYNCH(41,1.5),
  TESTSYNCH(45,1.5),
  TESTSYNCH(49,1.5),
  TESTSYNCH(53,1.5),
  TESTSYNCH(57,1.5),
  TESTSYNCH(61,1.5),
  TESTSYNCH(65,1.5),
  TESTSYNCH(69,1.5),
  TESTSYNCH(73,1.5),
  TESTSYNCH(77,1.5),
  TESTSYNCH(81,1.5),
  TESTSYNCH(85,1.5),
  TESTSYNCH(89,1.5),
  TESTSYNCH(93,1.5),
  TESTSYNCH(97,1.5),
  TESTSYNCH(101,1.5),
  TESTSYNCH(105,1.5),
  TESTSYNCH(109,1.5),
  TESTSYNCH(113,1.5)
) / F2, 0)</f>
        <v>0</v>
      </c>
      <c r="J3" s="21"/>
      <c r="K3" s="21">
        <f ca="1">IFERROR(SUM(
  TESTSYNCH(1,2),
  TESTSYNCH(5,2),
  TESTSYNCH(9,2),
  TESTSYNCH(13,2),
  TESTSYNCH(17,2),
  TESTSYNCH(21,2),
  TESTSYNCH(25,2),
  TESTSYNCH(29,2),
  TESTSYNCH(33,2),
  TESTSYNCH(37,2),
  TESTSYNCH(41,2),
  TESTSYNCH(45,2),
  TESTSYNCH(49,2),
  TESTSYNCH(53,2),
  TESTSYNCH(57,2),
  TESTSYNCH(61,2),
  TESTSYNCH(65,2),
  TESTSYNCH(69,2),
  TESTSYNCH(73,2),
  TESTSYNCH(77,2),
  TESTSYNCH(81,2),
  TESTSYNCH(85,2),
  TESTSYNCH(89,2),
  TESTSYNCH(93,2),
  TESTSYNCH(97,2),
  TESTSYNCH(101,2),
  TESTSYNCH(105,2),
  TESTSYNCH(109,2),
  TESTSYNCH(113,2)
) / F2, 0)</f>
        <v>0</v>
      </c>
      <c r="L3" s="21"/>
      <c r="M3" s="21">
        <f ca="1">IFERROR(SUM(
  TESTSYNCH(1,2.5),
  TESTSYNCH(5,2.5),
  TESTSYNCH(9,2.5),
  TESTSYNCH(13,2.5),
  TESTSYNCH(17,2.5),
  TESTSYNCH(21,2.5),
  TESTSYNCH(25,2.5),
  TESTSYNCH(29,2.5),
  TESTSYNCH(33,2.5),
  TESTSYNCH(37,2.5),
  TESTSYNCH(41,2.5),
  TESTSYNCH(45,2.5),
  TESTSYNCH(49,2.5),
  TESTSYNCH(53,2.5),
  TESTSYNCH(57,2.5),
  TESTSYNCH(61,2.5),
  TESTSYNCH(65,2.5),
  TESTSYNCH(69,2.5),
  TESTSYNCH(73,2.5),
  TESTSYNCH(77,2.5),
  TESTSYNCH(81,2.5),
  TESTSYNCH(85,2.5),
  TESTSYNCH(89,2.5),
  TESTSYNCH(93,2.5),
  TESTSYNCH(97,2.5),
  TESTSYNCH(101,2.5),
  TESTSYNCH(105,2.5),
  TESTSYNCH(109,2.5),
  TESTSYNCH(113,2.5)
) / F2, 0)</f>
        <v>0</v>
      </c>
      <c r="N3" s="21"/>
      <c r="O3" s="21">
        <f ca="1">IFERROR(SUM(
  TESTSYNCH(1,3),
  TESTSYNCH(5,3),
  TESTSYNCH(9,3),
  TESTSYNCH(13,3),
  TESTSYNCH(17,3),
  TESTSYNCH(21,3),
  TESTSYNCH(25,3),
  TESTSYNCH(29,3),
  TESTSYNCH(33,3),
  TESTSYNCH(37,3),
  TESTSYNCH(41,3),
  TESTSYNCH(45,3),
  TESTSYNCH(49,3),
  TESTSYNCH(53,3),
  TESTSYNCH(57,3),
  TESTSYNCH(61,3),
  TESTSYNCH(65,3),
  TESTSYNCH(69,3),
  TESTSYNCH(73,3),
  TESTSYNCH(77,3),
  TESTSYNCH(81,3),
  TESTSYNCH(85,3),
  TESTSYNCH(89,3),
  TESTSYNCH(93,3),
  TESTSYNCH(97,3),
  TESTSYNCH(101,3),
  TESTSYNCH(105,3),
  TESTSYNCH(109,3),
  TESTSYNCH(113,3)
) / F2, 0)</f>
        <v>0</v>
      </c>
      <c r="P3" s="21"/>
      <c r="Q3" s="21">
        <f ca="1">IFERROR(SUM(
  TESTSYNCH(1,3.5),
  TESTSYNCH(5,3.5),
  TESTSYNCH(9,3.5),
  TESTSYNCH(13,3.5),
  TESTSYNCH(17,3.5),
  TESTSYNCH(21,3.5),
  TESTSYNCH(25,3.5),
  TESTSYNCH(29,3.5),
  TESTSYNCH(33,3.5),
  TESTSYNCH(37,3.5),
  TESTSYNCH(41,3.5),
  TESTSYNCH(45,3.5),
  TESTSYNCH(49,3.5),
  TESTSYNCH(53,3.5),
  TESTSYNCH(57,3.5),
  TESTSYNCH(61,3.5),
  TESTSYNCH(65,3.5),
  TESTSYNCH(69,3.5),
  TESTSYNCH(73,3.5),
  TESTSYNCH(77,3.5),
  TESTSYNCH(81,3.5),
  TESTSYNCH(85,3.5),
  TESTSYNCH(89,3.5),
  TESTSYNCH(93,3.5),
  TESTSYNCH(97,3.5),
  TESTSYNCH(101,3.5),
  TESTSYNCH(105,3.5),
  TESTSYNCH(109,3.5),
  TESTSYNCH(113,3.5)
) / F2, 0)</f>
        <v>0</v>
      </c>
      <c r="R3" s="21"/>
      <c r="S3" s="21">
        <f ca="1">IFERROR(SUM(
  TESTSYNCH(1,4),
  TESTSYNCH(5,4),
  TESTSYNCH(9,4),
  TESTSYNCH(13,4),
  TESTSYNCH(17,4),
  TESTSYNCH(21,4),
  TESTSYNCH(25,4),
  TESTSYNCH(29,4),
  TESTSYNCH(33,4),
  TESTSYNCH(37,4),
  TESTSYNCH(41,4),
  TESTSYNCH(45,4),
  TESTSYNCH(49,4),
  TESTSYNCH(53,4),
  TESTSYNCH(57,4),
  TESTSYNCH(61,4),
  TESTSYNCH(65,4),
  TESTSYNCH(69,4),
  TESTSYNCH(73,4),
  TESTSYNCH(77,4),
  TESTSYNCH(81,4),
  TESTSYNCH(85,4),
  TESTSYNCH(89,4),
  TESTSYNCH(93,4),
  TESTSYNCH(97,4),
  TESTSYNCH(101,4),
  TESTSYNCH(105,4),
  TESTSYNCH(109,4),
  TESTSYNCH(113,4)
) / F2, 0)</f>
        <v>0</v>
      </c>
      <c r="T3" s="21"/>
      <c r="U3" s="21">
        <f ca="1">IFERROR(SUM(
  TESTSYNCH(1,4.5),
  TESTSYNCH(5,4.5),
  TESTSYNCH(9,4.5),
  TESTSYNCH(13,4.5),
  TESTSYNCH(17,4.5),
  TESTSYNCH(21,4.5),
  TESTSYNCH(25,4.5),
  TESTSYNCH(29,4.5),
  TESTSYNCH(33,4.5),
  TESTSYNCH(37,4.5),
  TESTSYNCH(41,4.5),
  TESTSYNCH(45,4.5),
  TESTSYNCH(49,4.5),
  TESTSYNCH(53,4.5),
  TESTSYNCH(57,4.5),
  TESTSYNCH(61,4.5),
  TESTSYNCH(65,4.5),
  TESTSYNCH(69,4.5),
  TESTSYNCH(73,4.5),
  TESTSYNCH(77,4.5),
  TESTSYNCH(81,4.5),
  TESTSYNCH(85,4.5),
  TESTSYNCH(89,4.5),
  TESTSYNCH(93,4.5),
  TESTSYNCH(97,4.5),
  TESTSYNCH(101,4.5),
  TESTSYNCH(105,4.5),
  TESTSYNCH(109,4.5),
  TESTSYNCH(113,4.5)
) / F2, 0)</f>
        <v>0</v>
      </c>
      <c r="V3" s="21"/>
      <c r="W3" s="21">
        <f ca="1">IFERROR(SUM(
  TESTSYNCH(1,5),
  TESTSYNCH(5,5),
  TESTSYNCH(9,5),
  TESTSYNCH(13,5),
  TESTSYNCH(17,5),
  TESTSYNCH(21,5),
  TESTSYNCH(25,5),
  TESTSYNCH(29,5),
  TESTSYNCH(33,5),
  TESTSYNCH(37,5),
  TESTSYNCH(41,5),
  TESTSYNCH(45,5),
  TESTSYNCH(49,5),
  TESTSYNCH(53,5),
  TESTSYNCH(57,5),
  TESTSYNCH(61,5),
  TESTSYNCH(65,5),
  TESTSYNCH(69,5),
  TESTSYNCH(73,5),
  TESTSYNCH(77,5),
  TESTSYNCH(81,5),
  TESTSYNCH(85,5),
  TESTSYNCH(89,5),
  TESTSYNCH(93,5),
  TESTSYNCH(97,5),
  TESTSYNCH(101,5),
  TESTSYNCH(105,5),
  TESTSYNCH(109,5),
  TESTSYNCH(113,5)
) / F2, 0)</f>
        <v>0</v>
      </c>
      <c r="X3" s="21"/>
      <c r="Y3" s="21">
        <f ca="1">IFERROR(SUM(
  TESTSYNCH(1,5.5),
  TESTSYNCH(5,5.5),
  TESTSYNCH(9,5.5),
  TESTSYNCH(13,5.5),
  TESTSYNCH(17,5.5),
  TESTSYNCH(21,5.5),
  TESTSYNCH(25,5.5),
  TESTSYNCH(29,5.5),
  TESTSYNCH(33,5.5),
  TESTSYNCH(37,5.5),
  TESTSYNCH(41,5.5),
  TESTSYNCH(45,5.5),
  TESTSYNCH(49,5.5),
  TESTSYNCH(53,5.5),
  TESTSYNCH(57,5.5),
  TESTSYNCH(61,5.5),
  TESTSYNCH(65,5.5),
  TESTSYNCH(69,5.5),
  TESTSYNCH(73,5.5),
  TESTSYNCH(77,5.5),
  TESTSYNCH(81,5.5),
  TESTSYNCH(85,5.5),
  TESTSYNCH(89,5.5),
  TESTSYNCH(93,5.5),
  TESTSYNCH(97,5.5),
  TESTSYNCH(101,5.5),
  TESTSYNCH(105,5.5),
  TESTSYNCH(109,5.5),
  TESTSYNCH(113,5.5)
) / F2, 0)</f>
        <v>0</v>
      </c>
      <c r="Z3" s="21"/>
      <c r="AA3" s="21"/>
    </row>
    <row r="4" spans="1:29" x14ac:dyDescent="0.3">
      <c r="A4" s="10" t="s">
        <v>13</v>
      </c>
      <c r="B4" s="2">
        <f t="shared" ref="B4:B67" si="0">B3+0.1</f>
        <v>0.2</v>
      </c>
      <c r="C4" s="2">
        <v>0</v>
      </c>
      <c r="E4" s="1"/>
      <c r="F4" s="3" t="s">
        <v>1</v>
      </c>
      <c r="G4" s="21"/>
      <c r="H4" s="21">
        <f ca="1">IFERROR(SUM(
  TESTASYNCH(1,1.25),
  TESTASYNCH(5,1.25),
  TESTASYNCH(9,1.25),
  TESTASYNCH(13,1.25),
  TESTASYNCH(17,1.25),
  TESTASYNCH(21,1.25),
  TESTASYNCH(25,1.25),
  TESTASYNCH(29,1.25),
  TESTASYNCH(33,1.25),
  TESTASYNCH(37,1.25),
  TESTASYNCH(41,1.25),
  TESTASYNCH(45,1.25),
  TESTASYNCH(49,1.25),
  TESTASYNCH(53,1.25),
  TESTASYNCH(57,1.25),
  TESTASYNCH(61,1.25),
  TESTASYNCH(65,1.25),
  TESTASYNCH(69,1.25),
  TESTASYNCH(73,1.25),
  TESTASYNCH(77,1.25),
  TESTASYNCH(81,1.25),
  TESTASYNCH(85,1.25),
  TESTASYNCH(89,1.25),
  TESTASYNCH(93,1.25),
  TESTASYNCH(97,1.25),
  TESTASYNCH(101,1.25),
  TESTASYNCH(105,1.25),
  TESTASYNCH(109,1.25),
  TESTASYNCH(113,1.25)
) / F2, 0)</f>
        <v>0</v>
      </c>
      <c r="I4" s="21"/>
      <c r="J4" s="21">
        <f ca="1">IFERROR(SUM(
  TESTASYNCH(1,1.75),
  TESTASYNCH(5,1.75),
  TESTASYNCH(9,1.75),
  TESTASYNCH(13,1.75),
  TESTASYNCH(17,1.75),
  TESTASYNCH(21,1.75),
  TESTASYNCH(25,1.75),
  TESTASYNCH(29,1.75),
  TESTASYNCH(33,1.75),
  TESTASYNCH(37,1.75),
  TESTASYNCH(41,1.75),
  TESTASYNCH(45,1.75),
  TESTASYNCH(49,1.75),
  TESTASYNCH(53,1.75),
  TESTASYNCH(57,1.75),
  TESTASYNCH(61,1.75),
  TESTASYNCH(65,1.75),
  TESTASYNCH(69,1.75),
  TESTASYNCH(73,1.75),
  TESTASYNCH(77,1.75),
  TESTASYNCH(81,1.75),
  TESTASYNCH(85,1.75),
  TESTASYNCH(89,1.75),
  TESTASYNCH(93,1.75),
  TESTASYNCH(97,1.75),
  TESTASYNCH(101,1.75),
  TESTASYNCH(105,1.75),
  TESTASYNCH(109,1.75),
  TESTASYNCH(113,1.75)
) / F2, 0)</f>
        <v>0</v>
      </c>
      <c r="K4" s="21"/>
      <c r="L4" s="21">
        <f ca="1">IFERROR(SUM(
  TESTASYNCH(1,2.25),
  TESTASYNCH(5,2.25),
  TESTASYNCH(9,2.25),
  TESTASYNCH(13,2.25),
  TESTASYNCH(17,2.25),
  TESTASYNCH(21,2.25),
  TESTASYNCH(25,2.25),
  TESTASYNCH(29,2.25),
  TESTASYNCH(33,2.25),
  TESTASYNCH(37,2.25),
  TESTASYNCH(41,2.25),
  TESTASYNCH(45,2.25),
  TESTASYNCH(49,2.25),
  TESTASYNCH(53,2.25),
  TESTASYNCH(57,2.25),
  TESTASYNCH(61,2.25),
  TESTASYNCH(65,2.25),
  TESTASYNCH(69,2.25),
  TESTASYNCH(73,2.25),
  TESTASYNCH(77,2.25),
  TESTASYNCH(81,2.25),
  TESTASYNCH(85,2.25),
  TESTASYNCH(89,2.25),
  TESTASYNCH(93,2.25),
  TESTASYNCH(97,2.25),
  TESTASYNCH(101,2.25),
  TESTASYNCH(105,2.25),
  TESTASYNCH(109,2.25),
  TESTASYNCH(113,2.25)
) / F2, 0)</f>
        <v>0</v>
      </c>
      <c r="M4" s="21"/>
      <c r="N4" s="21">
        <f ca="1">IFERROR(SUM(
  TESTASYNCH(1,2.75),
  TESTASYNCH(5,2.75),
  TESTASYNCH(9,2.75),
  TESTASYNCH(13,2.75),
  TESTASYNCH(17,2.75),
  TESTASYNCH(21,2.75),
  TESTASYNCH(25,2.75),
  TESTASYNCH(29,2.75),
  TESTASYNCH(33,2.75),
  TESTASYNCH(37,2.75),
  TESTASYNCH(41,2.75),
  TESTASYNCH(45,2.75),
  TESTASYNCH(49,2.75),
  TESTASYNCH(53,2.75),
  TESTASYNCH(57,2.75),
  TESTASYNCH(61,2.75),
  TESTASYNCH(65,2.75),
  TESTASYNCH(69,2.75),
  TESTASYNCH(73,2.75),
  TESTASYNCH(77,2.75),
  TESTASYNCH(81,2.75),
  TESTASYNCH(85,2.75),
  TESTASYNCH(89,2.75),
  TESTASYNCH(93,2.75),
  TESTASYNCH(97,2.75),
  TESTASYNCH(101,2.75),
  TESTASYNCH(105,2.75),
  TESTASYNCH(109,2.75),
  TESTASYNCH(113,2.75)
) /F2, 0)</f>
        <v>0</v>
      </c>
      <c r="O4" s="21"/>
      <c r="P4" s="21">
        <f ca="1">IFERROR(SUM(
  TESTASYNCH(1,3.25),
  TESTASYNCH(5,3.25),
  TESTASYNCH(9,3.25),
  TESTASYNCH(13,3.25),
  TESTASYNCH(17,3.25),
  TESTASYNCH(21,3.25),
  TESTASYNCH(25,3.25),
  TESTASYNCH(29,3.25),
  TESTASYNCH(33,3.25),
  TESTASYNCH(37,3.25),
  TESTASYNCH(41,3.25),
  TESTASYNCH(45,3.25),
  TESTASYNCH(49,3.25),
  TESTASYNCH(53,3.25),
  TESTASYNCH(57,3.25),
  TESTASYNCH(61,3.25),
  TESTASYNCH(65,3.25),
  TESTASYNCH(69,3.25),
  TESTASYNCH(73,3.25),
  TESTASYNCH(77,3.25),
  TESTASYNCH(81,3.25),
  TESTASYNCH(85,3.25),
  TESTASYNCH(89,3.25),
  TESTASYNCH(93,3.25),
  TESTASYNCH(97,3.25),
  TESTASYNCH(101,3.25),
  TESTASYNCH(105,3.25),
  TESTASYNCH(109,3.25),
  TESTASYNCH(113,3.25)
) / F2, 0)</f>
        <v>0</v>
      </c>
      <c r="Q4" s="21"/>
      <c r="R4" s="21">
        <f ca="1">IFERROR(SUM(
  TESTASYNCH(1,3.75),
  TESTASYNCH(5,3.75),
  TESTASYNCH(9,3.75),
  TESTASYNCH(13,3.75),
  TESTASYNCH(17,3.75),
  TESTASYNCH(21,3.75),
  TESTASYNCH(25,3.75),
  TESTASYNCH(29,3.75),
  TESTASYNCH(33,3.75),
  TESTASYNCH(37,3.75),
  TESTASYNCH(41,3.75),
  TESTASYNCH(45,3.75),
  TESTASYNCH(49,3.75),
  TESTASYNCH(53,3.75),
  TESTASYNCH(57,3.75),
  TESTASYNCH(61,3.75),
  TESTASYNCH(65,3.75),
  TESTASYNCH(69,3.75),
  TESTASYNCH(73,3.75),
  TESTASYNCH(77,3.75),
  TESTASYNCH(81,3.75),
  TESTASYNCH(85,3.75),
  TESTASYNCH(89,3.75),
  TESTASYNCH(93,3.75),
  TESTASYNCH(97,3.75),
  TESTASYNCH(101,3.75),
  TESTASYNCH(105,3.75),
  TESTASYNCH(109,3.75),
  TESTASYNCH(113,3.75)
) / F2, 0)</f>
        <v>0</v>
      </c>
      <c r="S4" s="21"/>
      <c r="T4" s="21">
        <f ca="1">IFERROR(SUM(
  TESTASYNCH(1,4.25),
  TESTASYNCH(5,4.25),
  TESTASYNCH(9,4.25),
  TESTASYNCH(13,4.25),
  TESTASYNCH(17,4.25),
  TESTASYNCH(21,4.25),
  TESTASYNCH(25,4.25),
  TESTASYNCH(29,4.25),
  TESTASYNCH(33,4.25),
  TESTASYNCH(37,4.25),
  TESTASYNCH(41,4.25),
  TESTASYNCH(45,4.25),
  TESTASYNCH(49,4.25),
  TESTASYNCH(53,4.25),
  TESTASYNCH(57,4.25),
  TESTASYNCH(61,4.25),
  TESTASYNCH(65,4.25),
  TESTASYNCH(69,4.25),
  TESTASYNCH(73,4.25),
  TESTASYNCH(77,4.25),
  TESTASYNCH(81,4.25),
  TESTASYNCH(85,4.25),
  TESTASYNCH(89,4.25),
  TESTASYNCH(93,4.25),
  TESTASYNCH(97,4.25),
  TESTASYNCH(101,4.25),
  TESTASYNCH(105,4.25),
  TESTASYNCH(109,4.25),
  TESTASYNCH(113,4.25)
) / F2, 0)</f>
        <v>0</v>
      </c>
      <c r="U4" s="21"/>
      <c r="V4" s="21">
        <f ca="1">IFERROR(SUM(
  TESTASYNCH(1,4.75),
  TESTASYNCH(5,4.75),
  TESTASYNCH(9,4.75),
  TESTASYNCH(13,4.75),
  TESTASYNCH(17,4.75),
  TESTASYNCH(21,4.75),
  TESTASYNCH(25,4.75),
  TESTASYNCH(29,4.75),
  TESTASYNCH(33,4.75),
  TESTASYNCH(37,4.75),
  TESTASYNCH(41,4.75),
  TESTASYNCH(45,4.75),
  TESTASYNCH(49,4.75),
  TESTASYNCH(53,4.75),
  TESTASYNCH(57,4.75),
  TESTASYNCH(61,4.75),
  TESTASYNCH(65,4.75),
  TESTASYNCH(69,4.75),
  TESTASYNCH(73,4.75),
  TESTASYNCH(77,4.75),
  TESTASYNCH(81,4.75),
  TESTASYNCH(85,4.75),
  TESTASYNCH(89,4.75),
  TESTASYNCH(93,4.75),
  TESTASYNCH(97,4.75),
  TESTASYNCH(101,4.75),
  TESTASYNCH(105,4.75),
  TESTASYNCH(109,4.75),
  TESTASYNCH(113,4.75)
) / F2, 0)</f>
        <v>0</v>
      </c>
      <c r="W4" s="21"/>
      <c r="X4" s="21">
        <f ca="1">IFERROR(SUM(
  TESTASYNCH(1,5.25),
  TESTASYNCH(5,5.25),
  TESTASYNCH(9,5.25),
  TESTASYNCH(13,5.25),
  TESTASYNCH(17,5.25),
  TESTASYNCH(21,5.25),
  TESTASYNCH(25,5.25),
  TESTASYNCH(29,5.25),
  TESTASYNCH(33,5.25),
  TESTASYNCH(37,5.25),
  TESTASYNCH(41,5.25),
  TESTASYNCH(45,5.25),
  TESTASYNCH(49,5.25),
  TESTASYNCH(53,5.25),
  TESTASYNCH(57,5.25),
  TESTASYNCH(61,5.25),
  TESTASYNCH(65,5.25),
  TESTASYNCH(69,5.25),
  TESTASYNCH(73,5.25),
  TESTASYNCH(77,5.25),
  TESTASYNCH(81,5.25),
  TESTASYNCH(85,5.25),
  TESTASYNCH(89,5.25),
  TESTASYNCH(93,5.25),
  TESTASYNCH(97,5.25),
  TESTASYNCH(101,5.25),
  TESTASYNCH(105,5.25),
  TESTASYNCH(109,5.25),
  TESTASYNCH(113,5.25)
) / F2, 0)</f>
        <v>0</v>
      </c>
      <c r="Y4" s="21"/>
      <c r="Z4" s="21">
        <f ca="1">IFERROR(SUM(
  TESTASYNCH(1,5.75),
  TESTASYNCH(5,5.75),
  TESTASYNCH(9,5.75),
  TESTASYNCH(13,5.75),
  TESTASYNCH(17,5.75),
  TESTASYNCH(21,5.75),
  TESTASYNCH(25,5.75),
  TESTASYNCH(29,5.75),
  TESTASYNCH(33,5.75),
  TESTASYNCH(37,5.75),
  TESTASYNCH(41,5.75),
  TESTASYNCH(45,5.75),
  TESTASYNCH(49,5.75),
  TESTASYNCH(53,5.75),
  TESTASYNCH(57,5.75),
  TESTASYNCH(61,5.75),
  TESTASYNCH(65,5.75),
  TESTASYNCH(69,5.75),
  TESTASYNCH(73,5.75),
  TESTASYNCH(77,5.75),
  TESTASYNCH(81,5.75),
  TESTASYNCH(85,5.75),
  TESTASYNCH(89,5.75),
  TESTASYNCH(93,5.75),
  TESTASYNCH(97,5.75),
  TESTASYNCH(101,5.75),
  TESTASYNCH(105,5.75),
  TESTASYNCH(109,5.75),
  TESTASYNCH(113,5.75)
) / F2, 0)</f>
        <v>0</v>
      </c>
      <c r="AA4" s="21"/>
    </row>
    <row r="5" spans="1:29" x14ac:dyDescent="0.3">
      <c r="A5" s="10" t="s">
        <v>14</v>
      </c>
      <c r="B5" s="2">
        <f t="shared" si="0"/>
        <v>0.30000000000000004</v>
      </c>
      <c r="C5" s="2">
        <v>0</v>
      </c>
      <c r="E5" s="1"/>
      <c r="F5" s="3" t="s">
        <v>6</v>
      </c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>
        <f ca="1">IFERROR(SUM(
  TESTSPON(1,6),
  TESTSPON(5,6),
  TESTSPON(9,6),
  TESTSPON(13,6),
  TESTSPON(17,6),
  TESTSPON(21,6),
  TESTSPON(25,6),
  TESTSPON(29,6),
  TESTSPON(33,6),
  TESTSPON(37,6),
  TESTSPON(41,6),
  TESTSPON(45,6),
  TESTSPON(49,6),
  TESTSPON(53,6),
  TESTSPON(57,6),
  TESTSPON(61,6),
  TESTSPON(65,6),
  TESTSPON(69,6),
  TESTSPON(73,6),
  TESTSPON(77,6),
  TESTSPON(81,6),
  TESTSPON(85,6),
  TESTSPON(89,6),
  TESTSPON(93,6),
  TESTSPON(97,6),
  TESTSPON(101,6),
  TESTSPON(105,6),
  TESTSPON(109,6),
  TESTSPON(113,6)
) / F2, 0)</f>
        <v>0</v>
      </c>
    </row>
    <row r="6" spans="1:29" x14ac:dyDescent="0.3">
      <c r="B6" s="2">
        <f t="shared" si="0"/>
        <v>0.4</v>
      </c>
      <c r="C6" s="2">
        <v>0</v>
      </c>
      <c r="E6" s="1"/>
      <c r="F6" s="3" t="s">
        <v>3</v>
      </c>
      <c r="G6">
        <f ca="1">IFERROR(TRUNC(SUM(
  TESTINTENSITYSYNCH(1,1),
  TESTINTENSITYSYNCH(5,1),
  TESTINTENSITYSYNCH(9,1),
  TESTINTENSITYSYNCH(13,1),
  TESTINTENSITYSYNCH(17,1),
  TESTINTENSITYSYNCH(21,1),
  TESTINTENSITYSYNCH(25,1),
  TESTINTENSITYSYNCH(29,1),
  TESTINTENSITYSYNCH(33,1),
  TESTINTENSITYSYNCH(37,1),
  TESTINTENSITYSYNCH(41,1),
  TESTINTENSITYSYNCH(45,1),
  TESTINTENSITYSYNCH(49,1),
  TESTINTENSITYSYNCH(53,1),
  TESTINTENSITYSYNCH(57,1),
  TESTINTENSITYSYNCH(61,1),
  TESTINTENSITYSYNCH(65,1),
  TESTINTENSITYSYNCH(69,1),
  TESTINTENSITYSYNCH(73,1),
  TESTINTENSITYSYNCH(77,1),
  TESTINTENSITYSYNCH(81,1),
  TESTINTENSITYSYNCH(85,1),
  TESTINTENSITYSYNCH(89,1),
  TESTINTENSITYSYNCH(93,1),
  TESTINTENSITYSYNCH(97,1),
  TESTINTENSITYSYNCH(101,1),
  TESTINTENSITYSYNCH(105,1),
  TESTINTENSITYSYNCH(109,1),
  TESTINTENSITYSYNCH(113,1)
) / (G3*F2), 3), 0)</f>
        <v>0</v>
      </c>
      <c r="H6">
        <f ca="1">IFERROR(TRUNC(SUM(
  TESTINTENSITYASYNCH(1,1.25),
  TESTINTENSITYASYNCH(5,1.25),
  TESTINTENSITYASYNCH(9,1.25),
  TESTINTENSITYASYNCH(13,1.25),
  TESTINTENSITYASYNCH(17,1.25),
  TESTINTENSITYASYNCH(21,1.25),
  TESTINTENSITYASYNCH(25,1.25),
  TESTINTENSITYASYNCH(29,1.25),
  TESTINTENSITYASYNCH(33,1.25),
  TESTINTENSITYASYNCH(37,1.25),
  TESTINTENSITYASYNCH(41,1.25),
  TESTINTENSITYASYNCH(45,1.25),
  TESTINTENSITYASYNCH(49,1.25),
  TESTINTENSITYASYNCH(53,1.25),
  TESTINTENSITYASYNCH(57,1.25),
  TESTINTENSITYASYNCH(61,1.25),
  TESTINTENSITYASYNCH(65,1.25),
  TESTINTENSITYASYNCH(69,1.25),
  TESTINTENSITYASYNCH(73,1.25),
  TESTINTENSITYASYNCH(77,1.25),
  TESTINTENSITYASYNCH(81,1.25),
  TESTINTENSITYASYNCH(85,1.25),
  TESTINTENSITYASYNCH(89,1.25),
  TESTINTENSITYASYNCH(93,1.25),
  TESTINTENSITYASYNCH(97,1.25),
  TESTINTENSITYASYNCH(101,1.25),
  TESTINTENSITYASYNCH(105,1.25),
  TESTINTENSITYASYNCH(109,1.25),
  TESTINTENSITYASYNCH(113,1.25)
) / (H4*F2), 3), 0)</f>
        <v>0</v>
      </c>
      <c r="I6">
        <f ca="1">IFERROR(TRUNC(SUM(
  TESTINTENSITYSYNCH(1,1.5),
  TESTINTENSITYSYNCH(5,1.5),
  TESTINTENSITYSYNCH(9,1.5),
  TESTINTENSITYSYNCH(13,1.5),
  TESTINTENSITYSYNCH(17,1.5),
  TESTINTENSITYSYNCH(21,1.5),
  TESTINTENSITYSYNCH(25,1.5),
  TESTINTENSITYSYNCH(29,1.5),
  TESTINTENSITYSYNCH(33,1.5),
  TESTINTENSITYSYNCH(37,1.5),
  TESTINTENSITYSYNCH(41,1.5),
  TESTINTENSITYSYNCH(45,1.5),
  TESTINTENSITYSYNCH(49,1.5),
  TESTINTENSITYSYNCH(53,1.5),
  TESTINTENSITYSYNCH(57,1.5),
  TESTINTENSITYSYNCH(61,1.5),
  TESTINTENSITYSYNCH(65,1.5),
  TESTINTENSITYSYNCH(69,1.5),
  TESTINTENSITYSYNCH(73,1.5),
  TESTINTENSITYSYNCH(77,1.5),
  TESTINTENSITYSYNCH(81,1.5),
  TESTINTENSITYSYNCH(85,1.5),
  TESTINTENSITYSYNCH(89,1.5),
  TESTINTENSITYSYNCH(93,1.5),
  TESTINTENSITYSYNCH(97,1.5),
  TESTINTENSITYSYNCH(101,1.5),
  TESTINTENSITYSYNCH(105,1.5),
  TESTINTENSITYSYNCH(109,1.5),
  TESTINTENSITYSYNCH(113,1.5)
) / (I3*F2), 3), 0)</f>
        <v>0</v>
      </c>
      <c r="J6">
        <f ca="1">IFERROR(TRUNC(SUM(
  TESTINTENSITYASYNCH(1,1.75),
  TESTINTENSITYASYNCH(5,1.75),
  TESTINTENSITYASYNCH(9,1.75),
  TESTINTENSITYASYNCH(13,1.75),
  TESTINTENSITYASYNCH(17,1.75),
  TESTINTENSITYASYNCH(21,1.75),
  TESTINTENSITYASYNCH(25,1.75),
  TESTINTENSITYASYNCH(29,1.75),
  TESTINTENSITYASYNCH(33,1.75),
  TESTINTENSITYASYNCH(37,1.75),
  TESTINTENSITYASYNCH(41,1.75),
  TESTINTENSITYASYNCH(45,1.75),
  TESTINTENSITYASYNCH(49,1.75),
  TESTINTENSITYASYNCH(53,1.75),
  TESTINTENSITYASYNCH(57,1.75),
  TESTINTENSITYASYNCH(61,1.75),
  TESTINTENSITYASYNCH(65,1.75),
  TESTINTENSITYASYNCH(69,1.75),
  TESTINTENSITYASYNCH(73,1.75),
  TESTINTENSITYASYNCH(77,1.75),
  TESTINTENSITYASYNCH(81,1.75),
  TESTINTENSITYASYNCH(85,1.75),
  TESTINTENSITYASYNCH(89,1.75),
  TESTINTENSITYASYNCH(93,1.75),
  TESTINTENSITYASYNCH(97,1.75),
  TESTINTENSITYASYNCH(101,1.75),
  TESTINTENSITYASYNCH(105,1.75),
  TESTINTENSITYASYNCH(109,1.75),
  TESTINTENSITYASYNCH(113,1.75)
) / (J4*F2), 3), 0)</f>
        <v>0</v>
      </c>
      <c r="K6">
        <f ca="1">IFERROR(TRUNC(SUM(
  TESTINTENSITYSYNCH(1,2),
  TESTINTENSITYSYNCH(5,2),
  TESTINTENSITYSYNCH(9,2),
  TESTINTENSITYSYNCH(13,2),
  TESTINTENSITYSYNCH(17,2),
  TESTINTENSITYSYNCH(21,2),
  TESTINTENSITYSYNCH(25,2),
  TESTINTENSITYSYNCH(29,2),
  TESTINTENSITYSYNCH(33,2),
  TESTINTENSITYSYNCH(37,2),
  TESTINTENSITYSYNCH(41,2),
  TESTINTENSITYSYNCH(45,2),
  TESTINTENSITYSYNCH(49,2),
  TESTINTENSITYSYNCH(53,2),
  TESTINTENSITYSYNCH(57,2),
  TESTINTENSITYSYNCH(61,2),
  TESTINTENSITYSYNCH(65,2),
  TESTINTENSITYSYNCH(69,2),
  TESTINTENSITYSYNCH(73,2),
  TESTINTENSITYSYNCH(77,2),
  TESTINTENSITYSYNCH(81,2),
  TESTINTENSITYSYNCH(85,2),
  TESTINTENSITYSYNCH(89,2),
  TESTINTENSITYSYNCH(93,2),
  TESTINTENSITYSYNCH(97,2),
  TESTINTENSITYSYNCH(101,2),
  TESTINTENSITYSYNCH(105,2),
  TESTINTENSITYSYNCH(109,2),
  TESTINTENSITYSYNCH(113,2)
) / (K3*F2), 3), 0)</f>
        <v>0</v>
      </c>
      <c r="L6">
        <f ca="1">IFERROR(TRUNC(SUM(
  TESTINTENSITYASYNCH(1,2.25),
  TESTINTENSITYASYNCH(5,2.25),
  TESTINTENSITYASYNCH(9,2.25),
  TESTINTENSITYASYNCH(13,2.25),
  TESTINTENSITYASYNCH(17,2.25),
  TESTINTENSITYASYNCH(21,2.25),
  TESTINTENSITYASYNCH(25,2.25),
  TESTINTENSITYASYNCH(29,2.25),
  TESTINTENSITYASYNCH(33,2.25),
  TESTINTENSITYASYNCH(37,2.25),
  TESTINTENSITYASYNCH(41,2.25),
  TESTINTENSITYASYNCH(45,2.25),
  TESTINTENSITYASYNCH(49,2.25),
  TESTINTENSITYASYNCH(53,2.25),
  TESTINTENSITYASYNCH(57,2.25),
  TESTINTENSITYASYNCH(61,2.25),
  TESTINTENSITYASYNCH(65,2.25),
  TESTINTENSITYASYNCH(69,2.25),
  TESTINTENSITYASYNCH(73,2.25),
  TESTINTENSITYASYNCH(77,2.25),
  TESTINTENSITYASYNCH(81,2.25),
  TESTINTENSITYASYNCH(85,2.25),
  TESTINTENSITYASYNCH(89,2.25),
  TESTINTENSITYASYNCH(93,2.25),
  TESTINTENSITYASYNCH(97,2.25),
  TESTINTENSITYASYNCH(101,2.25),
  TESTINTENSITYASYNCH(105,2.25),
  TESTINTENSITYASYNCH(109,2.25),
  TESTINTENSITYASYNCH(113,2.25)
) / (L4*F2), 3), 0)</f>
        <v>0</v>
      </c>
      <c r="M6">
        <f ca="1">IFERROR(TRUNC(SUM(
  TESTINTENSITYSYNCH(1,2.5),
  TESTINTENSITYSYNCH(5,2.5),
  TESTINTENSITYSYNCH(9,2.5),
  TESTINTENSITYSYNCH(13,2.5),
  TESTINTENSITYSYNCH(17,2.5),
  TESTINTENSITYSYNCH(21,2.5),
  TESTINTENSITYSYNCH(25,2.5),
  TESTINTENSITYSYNCH(29,2.5),
  TESTINTENSITYSYNCH(33,2.5),
  TESTINTENSITYSYNCH(37,2.5),
  TESTINTENSITYSYNCH(41,2.5),
  TESTINTENSITYSYNCH(45,2.5),
  TESTINTENSITYSYNCH(49,2.5),
  TESTINTENSITYSYNCH(53,2.5),
  TESTINTENSITYSYNCH(57,2.5),
  TESTINTENSITYSYNCH(61,2.5),
  TESTINTENSITYSYNCH(65,2.5),
  TESTINTENSITYSYNCH(69,2.5),
  TESTINTENSITYSYNCH(73,2.5),
  TESTINTENSITYSYNCH(77,2.5),
  TESTINTENSITYSYNCH(81,2.5),
  TESTINTENSITYSYNCH(85,2.5),
  TESTINTENSITYSYNCH(89,2.5),
  TESTINTENSITYSYNCH(93,2.5),
  TESTINTENSITYSYNCH(97,2.5),
  TESTINTENSITYSYNCH(101,2.5),
  TESTINTENSITYSYNCH(105,2.5),
  TESTINTENSITYSYNCH(109,2.5),
  TESTINTENSITYSYNCH(113,2.5)
) / (M3*F2), 3), 0)</f>
        <v>0</v>
      </c>
      <c r="N6">
        <f ca="1">IFERROR(TRUNC(SUM(
  TESTINTENSITYASYNCH(1,2.75),
  TESTINTENSITYASYNCH(5,2.75),
  TESTINTENSITYASYNCH(9,2.75),
  TESTINTENSITYASYNCH(13,2.75),
  TESTINTENSITYASYNCH(17,2.75),
  TESTINTENSITYASYNCH(21,2.75),
  TESTINTENSITYASYNCH(25,2.75),
  TESTINTENSITYASYNCH(29,2.75),
  TESTINTENSITYASYNCH(33,2.75),
  TESTINTENSITYASYNCH(37,2.75),
  TESTINTENSITYASYNCH(41,2.75),
  TESTINTENSITYASYNCH(45,2.75),
  TESTINTENSITYASYNCH(49,2.75),
  TESTINTENSITYASYNCH(53,2.75),
  TESTINTENSITYASYNCH(57,2.75),
  TESTINTENSITYASYNCH(61,2.75),
  TESTINTENSITYASYNCH(65,2.75),
  TESTINTENSITYASYNCH(69,2.75),
  TESTINTENSITYASYNCH(73,2.75),
  TESTINTENSITYASYNCH(77,2.75),
  TESTINTENSITYASYNCH(81,2.75),
  TESTINTENSITYASYNCH(85,2.75),
  TESTINTENSITYASYNCH(89,2.75),
  TESTINTENSITYASYNCH(93,2.75),
  TESTINTENSITYASYNCH(97,2.75),
  TESTINTENSITYASYNCH(101,2.75),
  TESTINTENSITYASYNCH(105,2.75),
  TESTINTENSITYASYNCH(109,2.75),
  TESTINTENSITYASYNCH(113,2.75)
) / (N4*F2), 3), 0)</f>
        <v>0</v>
      </c>
      <c r="O6">
        <f ca="1">IFERROR(TRUNC(SUM(
  TESTINTENSITYSYNCH(1,3),
  TESTINTENSITYSYNCH(5,3),
  TESTINTENSITYSYNCH(9,3),
  TESTINTENSITYSYNCH(13,3),
  TESTINTENSITYSYNCH(17,3),
  TESTINTENSITYSYNCH(21,3),
  TESTINTENSITYSYNCH(25,3),
  TESTINTENSITYSYNCH(29,3),
  TESTINTENSITYSYNCH(33,3),
  TESTINTENSITYSYNCH(37,3),
  TESTINTENSITYSYNCH(41,3),
  TESTINTENSITYSYNCH(45,3),
  TESTINTENSITYSYNCH(49,3),
  TESTINTENSITYSYNCH(53,3),
  TESTINTENSITYSYNCH(57,3),
  TESTINTENSITYSYNCH(61,3),
  TESTINTENSITYSYNCH(65,3),
  TESTINTENSITYSYNCH(69,3),
  TESTINTENSITYSYNCH(73,3),
  TESTINTENSITYSYNCH(77,3),
  TESTINTENSITYSYNCH(81,3),
  TESTINTENSITYSYNCH(85,3),
  TESTINTENSITYSYNCH(89,3),
  TESTINTENSITYSYNCH(93,3),
  TESTINTENSITYSYNCH(97,3),
  TESTINTENSITYSYNCH(101,3),
  TESTINTENSITYSYNCH(105,3),
  TESTINTENSITYSYNCH(109,3),
  TESTINTENSITYSYNCH(113,3)
) / (O3*F2), 3), 0)</f>
        <v>0</v>
      </c>
      <c r="P6">
        <f ca="1">IFERROR(TRUNC(SUM(
  TESTINTENSITYASYNCH(1,3.25),
  TESTINTENSITYASYNCH(5,3.25),
  TESTINTENSITYASYNCH(9,3.25),
  TESTINTENSITYASYNCH(13,3.25),
  TESTINTENSITYASYNCH(17,3.25),
  TESTINTENSITYASYNCH(21,3.25),
  TESTINTENSITYASYNCH(25,3.25),
  TESTINTENSITYASYNCH(29,3.25),
  TESTINTENSITYASYNCH(33,3.25),
  TESTINTENSITYASYNCH(37,3.25),
  TESTINTENSITYASYNCH(41,3.25),
  TESTINTENSITYASYNCH(45,3.25),
  TESTINTENSITYASYNCH(49,3.25),
  TESTINTENSITYASYNCH(53,3.25),
  TESTINTENSITYASYNCH(57,3.25),
  TESTINTENSITYASYNCH(61,3.25),
  TESTINTENSITYASYNCH(65,3.25),
  TESTINTENSITYASYNCH(69,3.25),
  TESTINTENSITYASYNCH(73,3.25),
  TESTINTENSITYASYNCH(77,3.25),
  TESTINTENSITYASYNCH(81,3.25),
  TESTINTENSITYASYNCH(85,3.25),
  TESTINTENSITYASYNCH(89,3.25),
  TESTINTENSITYASYNCH(93,3.25),
  TESTINTENSITYASYNCH(97,3.25),
  TESTINTENSITYASYNCH(101,3.25),
  TESTINTENSITYASYNCH(105,3.25),
  TESTINTENSITYASYNCH(109,3.25),
  TESTINTENSITYASYNCH(113,3.25)
) / (P4*F2), 3), 0)</f>
        <v>0</v>
      </c>
      <c r="Q6">
        <f ca="1">IFERROR(TRUNC(SUM(
  TESTINTENSITYSYNCH(1,3.5),
  TESTINTENSITYSYNCH(5,3.5),
  TESTINTENSITYSYNCH(9,3.5),
  TESTINTENSITYSYNCH(13,3.5),
  TESTINTENSITYSYNCH(17,3.5),
  TESTINTENSITYSYNCH(21,3.5),
  TESTINTENSITYSYNCH(25,3.5),
  TESTINTENSITYSYNCH(29,3.5),
  TESTINTENSITYSYNCH(33,3.5),
  TESTINTENSITYSYNCH(37,3.5),
  TESTINTENSITYSYNCH(41,3.5),
  TESTINTENSITYSYNCH(45,3.5),
  TESTINTENSITYSYNCH(49,3.5),
  TESTINTENSITYSYNCH(53,3.5),
  TESTINTENSITYSYNCH(57,3.5),
  TESTINTENSITYSYNCH(61,3.5),
  TESTINTENSITYSYNCH(65,3.5),
  TESTINTENSITYSYNCH(69,3.5),
  TESTINTENSITYSYNCH(73,3.5),
  TESTINTENSITYSYNCH(77,3.5),
  TESTINTENSITYSYNCH(81,3.5),
  TESTINTENSITYSYNCH(85,3.5),
  TESTINTENSITYSYNCH(89,3.5),
  TESTINTENSITYSYNCH(93,3.5),
  TESTINTENSITYSYNCH(97,3.5),
  TESTINTENSITYSYNCH(101,3.5),
  TESTINTENSITYSYNCH(105,3.5),
  TESTINTENSITYSYNCH(109,3.5),
  TESTINTENSITYSYNCH(113,3.5)
) / (Q3*F2), 3), 0)</f>
        <v>0</v>
      </c>
      <c r="R6">
        <f ca="1">IFERROR(TRUNC(SUM(
  TESTINTENSITYASYNCH(1,3.75),
  TESTINTENSITYASYNCH(5,3.75),
  TESTINTENSITYASYNCH(9,3.75),
  TESTINTENSITYASYNCH(13,3.75),
  TESTINTENSITYASYNCH(17,3.75),
  TESTINTENSITYASYNCH(21,3.75),
  TESTINTENSITYASYNCH(25,3.75),
  TESTINTENSITYASYNCH(29,3.75),
  TESTINTENSITYASYNCH(33,3.75),
  TESTINTENSITYASYNCH(37,3.75),
  TESTINTENSITYASYNCH(41,3.75),
  TESTINTENSITYASYNCH(45,3.75),
  TESTINTENSITYASYNCH(49,3.75),
  TESTINTENSITYASYNCH(53,3.75),
  TESTINTENSITYASYNCH(57,3.75),
  TESTINTENSITYASYNCH(61,3.75),
  TESTINTENSITYASYNCH(65,3.75),
  TESTINTENSITYASYNCH(69,3.75),
  TESTINTENSITYASYNCH(73,3.75),
  TESTINTENSITYASYNCH(77,3.75),
  TESTINTENSITYASYNCH(81,3.75),
  TESTINTENSITYASYNCH(85,3.75),
  TESTINTENSITYASYNCH(89,3.75),
  TESTINTENSITYASYNCH(93,3.75),
  TESTINTENSITYASYNCH(97,3.75),
  TESTINTENSITYASYNCH(101,3.75),
  TESTINTENSITYASYNCH(105,3.75),
  TESTINTENSITYASYNCH(109,3.75),
  TESTINTENSITYASYNCH(113,3.75)
) / (R4*F2), 3), 0)</f>
        <v>0</v>
      </c>
      <c r="S6">
        <f ca="1">IFERROR(TRUNC(SUM(
  TESTINTENSITYSYNCH(1,4),
  TESTINTENSITYSYNCH(5,4),
  TESTINTENSITYSYNCH(9,4),
  TESTINTENSITYSYNCH(13,4),
  TESTINTENSITYSYNCH(17,4),
  TESTINTENSITYSYNCH(21,4),
  TESTINTENSITYSYNCH(25,4),
  TESTINTENSITYSYNCH(29,4),
  TESTINTENSITYSYNCH(33,4),
  TESTINTENSITYSYNCH(37,4),
  TESTINTENSITYSYNCH(41,4),
  TESTINTENSITYSYNCH(45,4),
  TESTINTENSITYSYNCH(49,4),
  TESTINTENSITYSYNCH(53,4),
  TESTINTENSITYSYNCH(57,4),
  TESTINTENSITYSYNCH(61,4),
  TESTINTENSITYSYNCH(65,4),
  TESTINTENSITYSYNCH(69,4),
  TESTINTENSITYSYNCH(73,4),
  TESTINTENSITYSYNCH(77,4),
  TESTINTENSITYSYNCH(81,4),
  TESTINTENSITYSYNCH(85,4),
  TESTINTENSITYSYNCH(89,4),
  TESTINTENSITYSYNCH(93,4),
  TESTINTENSITYSYNCH(97,4),
  TESTINTENSITYSYNCH(101,4),
  TESTINTENSITYSYNCH(105,4),
  TESTINTENSITYSYNCH(109,4),
  TESTINTENSITYSYNCH(113,4)
) / (S3*F2), 3), 0)</f>
        <v>0</v>
      </c>
      <c r="T6">
        <f ca="1">IFERROR(TRUNC(SUM(
  TESTINTENSITYASYNCH(1,4.25),
  TESTINTENSITYASYNCH(5,4.25),
  TESTINTENSITYASYNCH(9,4.25),
  TESTINTENSITYASYNCH(13,4.25),
  TESTINTENSITYASYNCH(17,4.25),
  TESTINTENSITYASYNCH(21,4.25),
  TESTINTENSITYASYNCH(25,4.25),
  TESTINTENSITYASYNCH(29,4.25),
  TESTINTENSITYASYNCH(33,4.25),
  TESTINTENSITYASYNCH(37,4.25),
  TESTINTENSITYASYNCH(41,4.25),
  TESTINTENSITYASYNCH(45,4.25),
  TESTINTENSITYASYNCH(49,4.25),
  TESTINTENSITYASYNCH(53,4.25),
  TESTINTENSITYASYNCH(57,4.25),
  TESTINTENSITYASYNCH(61,4.25),
  TESTINTENSITYASYNCH(65,4.25),
  TESTINTENSITYASYNCH(69,4.25),
  TESTINTENSITYASYNCH(73,4.25),
  TESTINTENSITYASYNCH(77,4.25),
  TESTINTENSITYASYNCH(81,4.25),
  TESTINTENSITYASYNCH(85,4.25),
  TESTINTENSITYASYNCH(89,4.25),
  TESTINTENSITYASYNCH(93,4.25),
  TESTINTENSITYASYNCH(97,4.25),
  TESTINTENSITYASYNCH(101,4.25),
  TESTINTENSITYASYNCH(105,4.25),
  TESTINTENSITYASYNCH(109,4.25),
  TESTINTENSITYASYNCH(113,4.25)
) / (T4*F2), 3), 0)</f>
        <v>0</v>
      </c>
      <c r="U6">
        <f ca="1">IFERROR(TRUNC(SUM(
  TESTINTENSITYSYNCH(1,4.5),
  TESTINTENSITYSYNCH(5,4.5),
  TESTINTENSITYSYNCH(9,4.5),
  TESTINTENSITYSYNCH(13,4.5),
  TESTINTENSITYSYNCH(17,4.5),
  TESTINTENSITYSYNCH(21,4.5),
  TESTINTENSITYSYNCH(25,4.5),
  TESTINTENSITYSYNCH(29,4.5),
  TESTINTENSITYSYNCH(33,4.5),
  TESTINTENSITYSYNCH(37,4.5),
  TESTINTENSITYSYNCH(41,4.5),
  TESTINTENSITYSYNCH(45,4.5),
  TESTINTENSITYSYNCH(49,4.5),
  TESTINTENSITYSYNCH(53,4.5),
  TESTINTENSITYSYNCH(57,4.5),
  TESTINTENSITYSYNCH(61,4.5),
  TESTINTENSITYSYNCH(65,4.5),
  TESTINTENSITYSYNCH(69,4.5),
  TESTINTENSITYSYNCH(73,4.5),
  TESTINTENSITYSYNCH(77,4.5),
  TESTINTENSITYSYNCH(81,4.5),
  TESTINTENSITYSYNCH(85,4.5),
  TESTINTENSITYSYNCH(89,4.5),
  TESTINTENSITYSYNCH(93,4.5),
  TESTINTENSITYSYNCH(97,4.5),
  TESTINTENSITYSYNCH(101,4.5),
  TESTINTENSITYSYNCH(105,4.5),
  TESTINTENSITYSYNCH(109,4.5),
  TESTINTENSITYSYNCH(113,4.5)
) / (U3*F2), 3), 0)</f>
        <v>0</v>
      </c>
      <c r="V6">
        <f ca="1">IFERROR(TRUNC(SUM(
  TESTINTENSITYASYNCH(1,4.75),
  TESTINTENSITYASYNCH(5,4.75),
  TESTINTENSITYASYNCH(9,4.75),
  TESTINTENSITYASYNCH(13,4.75),
  TESTINTENSITYASYNCH(17,4.75),
  TESTINTENSITYASYNCH(21,4.75),
  TESTINTENSITYASYNCH(25,4.75),
  TESTINTENSITYASYNCH(29,4.75),
  TESTINTENSITYASYNCH(33,4.75),
  TESTINTENSITYASYNCH(37,4.75),
  TESTINTENSITYASYNCH(41,4.75),
  TESTINTENSITYASYNCH(45,4.75),
  TESTINTENSITYASYNCH(49,4.75),
  TESTINTENSITYASYNCH(53,4.75),
  TESTINTENSITYASYNCH(57,4.75),
  TESTINTENSITYASYNCH(61,4.75),
  TESTINTENSITYASYNCH(65,4.75),
  TESTINTENSITYASYNCH(69,4.75),
  TESTINTENSITYASYNCH(73,4.75),
  TESTINTENSITYASYNCH(77,4.75),
  TESTINTENSITYASYNCH(81,4.75),
  TESTINTENSITYASYNCH(85,4.75),
  TESTINTENSITYASYNCH(89,4.75),
  TESTINTENSITYASYNCH(93,4.75),
  TESTINTENSITYASYNCH(97,4.75),
  TESTINTENSITYASYNCH(101,4.75),
  TESTINTENSITYASYNCH(105,4.75),
  TESTINTENSITYASYNCH(109,4.75),
  TESTINTENSITYASYNCH(113,4.75)
) / (V4*F2), 3), 0)</f>
        <v>0</v>
      </c>
      <c r="W6">
        <f ca="1">IFERROR(TRUNC(SUM(
  TESTINTENSITYSYNCH(1,5),
  TESTINTENSITYSYNCH(5,5),
  TESTINTENSITYSYNCH(9,5),
  TESTINTENSITYSYNCH(13,5),
  TESTINTENSITYSYNCH(17,5),
  TESTINTENSITYSYNCH(21,5),
  TESTINTENSITYSYNCH(25,5),
  TESTINTENSITYSYNCH(29,5),
  TESTINTENSITYSYNCH(33,5),
  TESTINTENSITYSYNCH(37,5),
  TESTINTENSITYSYNCH(41,5),
  TESTINTENSITYSYNCH(45,5),
  TESTINTENSITYSYNCH(49,5),
  TESTINTENSITYSYNCH(53,5),
  TESTINTENSITYSYNCH(57,5),
  TESTINTENSITYSYNCH(61,5),
  TESTINTENSITYSYNCH(65,5),
  TESTINTENSITYSYNCH(69,5),
  TESTINTENSITYSYNCH(73,5),
  TESTINTENSITYSYNCH(77,5),
  TESTINTENSITYSYNCH(81,5),
  TESTINTENSITYSYNCH(85,5),
  TESTINTENSITYSYNCH(89,5),
  TESTINTENSITYSYNCH(93,5),
  TESTINTENSITYSYNCH(97,5),
  TESTINTENSITYSYNCH(101,5),
  TESTINTENSITYSYNCH(105,5),
  TESTINTENSITYSYNCH(109,5),
  TESTINTENSITYSYNCH(113,5)
) / (W3*F2), 3), 0)</f>
        <v>0</v>
      </c>
      <c r="X6">
        <f ca="1">IFERROR(TRUNC(SUM(
  TESTINTENSITYASYNCH(1,5.25),
  TESTINTENSITYASYNCH(5,5.25),
  TESTINTENSITYASYNCH(9,5.25),
  TESTINTENSITYASYNCH(13,5.25),
  TESTINTENSITYASYNCH(17,5.25),
  TESTINTENSITYASYNCH(21,5.25),
  TESTINTENSITYASYNCH(25,5.25),
  TESTINTENSITYASYNCH(29,5.25),
  TESTINTENSITYASYNCH(33,5.25),
  TESTINTENSITYASYNCH(37,5.25),
  TESTINTENSITYASYNCH(41,5.25),
  TESTINTENSITYASYNCH(45,5.25),
  TESTINTENSITYASYNCH(49,5.25),
  TESTINTENSITYASYNCH(53,5.25),
  TESTINTENSITYASYNCH(57,5.25),
  TESTINTENSITYASYNCH(61,5.25),
  TESTINTENSITYASYNCH(65,5.25),
  TESTINTENSITYASYNCH(69,5.25),
  TESTINTENSITYASYNCH(73,5.25),
  TESTINTENSITYASYNCH(77,5.25),
  TESTINTENSITYASYNCH(81,5.25),
  TESTINTENSITYASYNCH(85,5.25),
  TESTINTENSITYASYNCH(89,5.25),
  TESTINTENSITYASYNCH(93,5.25),
  TESTINTENSITYASYNCH(97,5.25),
  TESTINTENSITYASYNCH(101,5.25),
  TESTINTENSITYASYNCH(105,5.25),
  TESTINTENSITYASYNCH(109,5.25),
  TESTINTENSITYASYNCH(113,5.25)
) / (X4*F2), 3), 0)</f>
        <v>0</v>
      </c>
      <c r="Y6">
        <f ca="1">IFERROR(TRUNC(SUM(
  TESTINTENSITYSYNCH(1,5.5),
  TESTINTENSITYSYNCH(5,5.5),
  TESTINTENSITYSYNCH(9,5.5),
  TESTINTENSITYSYNCH(13,5.5),
  TESTINTENSITYSYNCH(17,5.5),
  TESTINTENSITYSYNCH(21,5.5),
  TESTINTENSITYSYNCH(25,5.5),
  TESTINTENSITYSYNCH(29,5.5),
  TESTINTENSITYSYNCH(33,5.5),
  TESTINTENSITYSYNCH(37,5.5),
  TESTINTENSITYSYNCH(41,5.5),
  TESTINTENSITYSYNCH(45,5.5),
  TESTINTENSITYSYNCH(49,5.5),
  TESTINTENSITYSYNCH(53,5.5),
  TESTINTENSITYSYNCH(57,5.5),
  TESTINTENSITYSYNCH(61,5.5),
  TESTINTENSITYSYNCH(65,5.5),
  TESTINTENSITYSYNCH(69,5.5),
  TESTINTENSITYSYNCH(73,5.5),
  TESTINTENSITYSYNCH(77,5.5),
  TESTINTENSITYSYNCH(81,5.5),
  TESTINTENSITYSYNCH(85,5.5),
  TESTINTENSITYSYNCH(89,5.5),
  TESTINTENSITYSYNCH(93,5.5),
  TESTINTENSITYSYNCH(97,5.5),
  TESTINTENSITYSYNCH(101,5.5),
  TESTINTENSITYSYNCH(105,5.5),
  TESTINTENSITYSYNCH(109,5.5),
  TESTINTENSITYSYNCH(113,5.5)
) / (Y3*F2), 3), 0)</f>
        <v>0</v>
      </c>
      <c r="Z6">
        <f ca="1">IFERROR(TRUNC(SUM(
  TESTINTENSITYASYNCH(1,5.75),
  TESTINTENSITYASYNCH(5,5.75),
  TESTINTENSITYASYNCH(9,5.75),
  TESTINTENSITYASYNCH(13,5.75),
  TESTINTENSITYASYNCH(17,5.75),
  TESTINTENSITYASYNCH(21,5.75),
  TESTINTENSITYASYNCH(25,5.75),
  TESTINTENSITYASYNCH(29,5.75),
  TESTINTENSITYASYNCH(33,5.75),
  TESTINTENSITYASYNCH(37,5.75),
  TESTINTENSITYASYNCH(41,5.75),
  TESTINTENSITYASYNCH(45,5.75),
  TESTINTENSITYASYNCH(49,5.75),
  TESTINTENSITYASYNCH(53,5.75),
  TESTINTENSITYASYNCH(57,5.75),
  TESTINTENSITYASYNCH(61,5.75),
  TESTINTENSITYASYNCH(65,5.75),
  TESTINTENSITYASYNCH(69,5.75),
  TESTINTENSITYASYNCH(73,5.75),
  TESTINTENSITYASYNCH(77,5.75),
  TESTINTENSITYASYNCH(81,5.75),
  TESTINTENSITYASYNCH(85,5.75),
  TESTINTENSITYASYNCH(89,5.75),
  TESTINTENSITYASYNCH(93,5.75),
  TESTINTENSITYASYNCH(97,5.75),
  TESTINTENSITYASYNCH(101,5.75),
  TESTINTENSITYASYNCH(105,5.75),
  TESTINTENSITYASYNCH(109,5.75),
  TESTINTENSITYASYNCH(113,5.75)
) / (Z4*F2), 3), 0)</f>
        <v>0</v>
      </c>
      <c r="AA6">
        <f ca="1">IFERROR(TRUNC(SUM(
  TESTINTENSITYSPON(1,6),
  TESTINTENSITYSPON(5,6),
  TESTINTENSITYSPON(9,6),
  TESTINTENSITYSPON(13,6),
  TESTINTENSITYSPON(17,6),
  TESTINTENSITYSPON(21,6),
  TESTINTENSITYSPON(25,6),
  TESTINTENSITYSPON(29,6),
  TESTINTENSITYSPON(33,6),
  TESTINTENSITYSPON(37,6),
  TESTINTENSITYSPON(41,6),
  TESTINTENSITYSPON(45,6),
  TESTINTENSITYSPON(49,6),
  TESTINTENSITYSPON(53,6),
  TESTINTENSITYSPON(57,6),
  TESTINTENSITYSPON(61,6),
  TESTINTENSITYSPON(65,6),
  TESTINTENSITYSPON(69,6),
  TESTINTENSITYSPON(73,6),
  TESTINTENSITYSPON(77,6),
  TESTINTENSITYSPON(81,6),
  TESTINTENSITYSPON(85,6),
  TESTINTENSITYSPON(89,6),
  TESTINTENSITYSPON(93,6),
  TESTINTENSITYSPON(97,6),
  TESTINTENSITYSPON(101,6),
  TESTINTENSITYSPON(105,6),
  TESTINTENSITYSPON(109,6),
  TESTINTENSITYSPON(113,6)
) / (AA5*F2), 3), 0)</f>
        <v>0</v>
      </c>
    </row>
    <row r="7" spans="1:29" x14ac:dyDescent="0.3">
      <c r="B7" s="2">
        <f t="shared" si="0"/>
        <v>0.5</v>
      </c>
      <c r="C7" s="2">
        <v>0</v>
      </c>
      <c r="E7" s="1"/>
      <c r="F7" s="3" t="s">
        <v>4</v>
      </c>
      <c r="G7">
        <f ca="1">IFERROR(SUM(
  TESTVESICLESSYNC(1,1),
  TESTVESICLESSYNC(5,1),
  TESTVESICLESSYNC(9,1),
  TESTVESICLESSYNC(13,1),
  TESTVESICLESSYNC(17,1),
  TESTVESICLESSYNC(21,1),
  TESTVESICLESSYNC(25,1),
  TESTVESICLESSYNC(29,1),
  TESTVESICLESSYNC(33,1),
  TESTVESICLESSYNC(37,1),
  TESTVESICLESSYNC(41,1),
  TESTVESICLESSYNC(45,1),
  TESTVESICLESSYNC(49,1),
  TESTVESICLESSYNC(53,1),
  TESTVESICLESSYNC(57,1),
  TESTVESICLESSYNC(61,1),
  TESTVESICLESSYNC(65,1),
  TESTVESICLESSYNC(69,1),
  TESTVESICLESSYNC(73,1),
  TESTVESICLESSYNC(77,1),
  TESTVESICLESSYNC(81,1),
  TESTVESICLESSYNC(85,1),
  TESTVESICLESSYNC(89,1),
  TESTVESICLESSYNC(93,1),
  TESTVESICLESSYNC(97,1),
  TESTVESICLESSYNC(101,1),
  TESTVESICLESSYNC(105,1),
  TESTVESICLESSYNC(109,1),
  TESTVESICLESSYNC(113,1)
) / (G3*F2), 0)</f>
        <v>0</v>
      </c>
      <c r="H7">
        <f ca="1">IFERROR(SUM(
  TESTVESICLESASYNC(1,1.25),
  TESTVESICLESASYNC(5,1.25),
  TESTVESICLESASYNC(9,1.25),
  TESTVESICLESASYNC(13,1.25),
  TESTVESICLESASYNC(17,1.25),
  TESTVESICLESASYNC(21,1.25),
  TESTVESICLESASYNC(25,1.25),
  TESTVESICLESASYNC(29,1.25),
  TESTVESICLESASYNC(33,1.25),
  TESTVESICLESASYNC(37,1.25),
  TESTVESICLESASYNC(41,1.25),
  TESTVESICLESASYNC(45,1.25),
  TESTVESICLESASYNC(49,1.25),
  TESTVESICLESASYNC(53,1.25),
  TESTVESICLESASYNC(57,1.25),
  TESTVESICLESASYNC(61,1.25),
  TESTVESICLESASYNC(65,1.25),
  TESTVESICLESASYNC(69,1.25),
  TESTVESICLESASYNC(73,1.25),
  TESTVESICLESASYNC(77,1.25),
  TESTVESICLESASYNC(81,1.25),
  TESTVESICLESASYNC(85,1.25),
  TESTVESICLESASYNC(89,1.25),
  TESTVESICLESASYNC(93,1.25),
  TESTVESICLESASYNC(97,1.25),
  TESTVESICLESASYNC(101,1.25),
  TESTVESICLESASYNC(105,1.25),
  TESTVESICLESASYNC(109,1.25),
  TESTVESICLESASYNC(113,1.25)
) / (H4*F2), 0)</f>
        <v>0</v>
      </c>
      <c r="I7">
        <f ca="1">IFERROR(SUM(
  TESTVESICLESSYNC(1,1.5),
  TESTVESICLESSYNC(5,1.5),
  TESTVESICLESSYNC(9,1.5),
  TESTVESICLESSYNC(13,1.5),
  TESTVESICLESSYNC(17,1.5),
  TESTVESICLESSYNC(21,1.5),
  TESTVESICLESSYNC(25,1.5),
  TESTVESICLESSYNC(29,1.5),
  TESTVESICLESSYNC(33,1.5),
  TESTVESICLESSYNC(37,1.5),
  TESTVESICLESSYNC(41,1.5),
  TESTVESICLESSYNC(45,1.5),
  TESTVESICLESSYNC(49,1.5),
  TESTVESICLESSYNC(53,1.5),
  TESTVESICLESSYNC(57,1.5),
  TESTVESICLESSYNC(61,1.5),
  TESTVESICLESSYNC(65,1.5),
  TESTVESICLESSYNC(69,1.5),
  TESTVESICLESSYNC(73,1.5),
  TESTVESICLESSYNC(77,1.5),
  TESTVESICLESSYNC(81,1.5),
  TESTVESICLESSYNC(85,1.5),
  TESTVESICLESSYNC(89,1.5),
  TESTVESICLESSYNC(93,1.5),
  TESTVESICLESSYNC(97,1.5),
  TESTVESICLESSYNC(101,1.5),
  TESTVESICLESSYNC(105,1.5),
  TESTVESICLESSYNC(109,1.5),
  TESTVESICLESSYNC(113,1.5)
) / (I3*F2), 0)</f>
        <v>0</v>
      </c>
      <c r="J7">
        <f ca="1">IFERROR(SUM(
  TESTVESICLESASYNC(1,1.75),
  TESTVESICLESASYNC(5,1.75),
  TESTVESICLESASYNC(9,1.75),
  TESTVESICLESASYNC(13,1.75),
  TESTVESICLESASYNC(17,1.75),
  TESTVESICLESASYNC(21,1.75),
  TESTVESICLESASYNC(25,1.75),
  TESTVESICLESASYNC(29,1.75),
  TESTVESICLESASYNC(33,1.75),
  TESTVESICLESASYNC(37,1.75),
  TESTVESICLESASYNC(41,1.75),
  TESTVESICLESASYNC(45,1.75),
  TESTVESICLESASYNC(49,1.75),
  TESTVESICLESASYNC(53,1.75),
  TESTVESICLESASYNC(57,1.75),
  TESTVESICLESASYNC(61,1.75),
  TESTVESICLESASYNC(65,1.75),
  TESTVESICLESASYNC(69,1.75),
  TESTVESICLESASYNC(73,1.75),
  TESTVESICLESASYNC(77,1.75),
  TESTVESICLESASYNC(81,1.75),
  TESTVESICLESASYNC(85,1.75),
  TESTVESICLESASYNC(89,1.75),
  TESTVESICLESASYNC(93,1.75),
  TESTVESICLESASYNC(97,1.75),
  TESTVESICLESASYNC(101,1.75),
  TESTVESICLESASYNC(105,1.75),
  TESTVESICLESASYNC(109,1.75),
  TESTVESICLESASYNC(113,1.75)
) / (J4*F2), 0)</f>
        <v>0</v>
      </c>
      <c r="K7">
        <f ca="1">IFERROR(SUM(
  TESTVESICLESSYNC(1,2),
  TESTVESICLESSYNC(5,2),
  TESTVESICLESSYNC(9,2),
  TESTVESICLESSYNC(13,2),
  TESTVESICLESSYNC(17,2),
  TESTVESICLESSYNC(21,2),
  TESTVESICLESSYNC(25,2),
  TESTVESICLESSYNC(29,2),
  TESTVESICLESSYNC(33,2),
  TESTVESICLESSYNC(37,2),
  TESTVESICLESSYNC(41,2),
  TESTVESICLESSYNC(45,2),
  TESTVESICLESSYNC(49,2),
  TESTVESICLESSYNC(53,2),
  TESTVESICLESSYNC(57,2),
  TESTVESICLESSYNC(61,2),
  TESTVESICLESSYNC(65,2),
  TESTVESICLESSYNC(69,2),
  TESTVESICLESSYNC(73,2),
  TESTVESICLESSYNC(77,2),
  TESTVESICLESSYNC(81,2),
  TESTVESICLESSYNC(85,2),
  TESTVESICLESSYNC(89,2),
  TESTVESICLESSYNC(93,2),
  TESTVESICLESSYNC(97,2),
  TESTVESICLESSYNC(101,2),
  TESTVESICLESSYNC(105,2),
  TESTVESICLESSYNC(109,2),
  TESTVESICLESSYNC(113,2)
) / (K3*F2), 0)</f>
        <v>0</v>
      </c>
      <c r="L7">
        <f ca="1">IFERROR(SUM(
  TESTVESICLESASYNC(1,2.25),
  TESTVESICLESASYNC(5,2.25),
  TESTVESICLESASYNC(9,2.25),
  TESTVESICLESASYNC(13,2.25),
  TESTVESICLESASYNC(17,2.25),
  TESTVESICLESASYNC(21,2.25),
  TESTVESICLESASYNC(25,2.25),
  TESTVESICLESASYNC(29,2.25),
  TESTVESICLESASYNC(33,2.25),
  TESTVESICLESASYNC(37,2.25),
  TESTVESICLESASYNC(41,2.25),
  TESTVESICLESASYNC(45,2.25),
  TESTVESICLESASYNC(49,2.25),
  TESTVESICLESASYNC(53,2.25),
  TESTVESICLESASYNC(57,2.25),
  TESTVESICLESASYNC(61,2.25),
  TESTVESICLESASYNC(65,2.25),
  TESTVESICLESASYNC(69,2.25),
  TESTVESICLESASYNC(73,2.25),
  TESTVESICLESASYNC(77,2.25),
  TESTVESICLESASYNC(81,2.25),
  TESTVESICLESASYNC(85,2.25),
  TESTVESICLESASYNC(89,2.25),
  TESTVESICLESASYNC(93,2.25),
  TESTVESICLESASYNC(97,2.25),
  TESTVESICLESASYNC(101,2.25),
  TESTVESICLESASYNC(105,2.25),
  TESTVESICLESASYNC(109,2.25),
  TESTVESICLESASYNC(113,2.25)
) / (L4*F2), 0)</f>
        <v>0</v>
      </c>
      <c r="M7">
        <f ca="1">IFERROR(SUM(
  TESTVESICLESSYNC(1,2.5),
  TESTVESICLESSYNC(5,2.5),
  TESTVESICLESSYNC(9,2.5),
  TESTVESICLESSYNC(13,2.5),
  TESTVESICLESSYNC(17,2.5),
  TESTVESICLESSYNC(21,2.5),
  TESTVESICLESSYNC(25,2.5),
  TESTVESICLESSYNC(29,2.5),
  TESTVESICLESSYNC(33,2.5),
  TESTVESICLESSYNC(37,2.5),
  TESTVESICLESSYNC(41,2.5),
  TESTVESICLESSYNC(45,2.5),
  TESTVESICLESSYNC(49,2.5),
  TESTVESICLESSYNC(53,2.5),
  TESTVESICLESSYNC(57,2.5),
  TESTVESICLESSYNC(61,2.5),
  TESTVESICLESSYNC(65,2.5),
  TESTVESICLESSYNC(69,2.5),
  TESTVESICLESSYNC(73,2.5),
  TESTVESICLESSYNC(77,2.5),
  TESTVESICLESSYNC(81,2.5),
  TESTVESICLESSYNC(85,2.5),
  TESTVESICLESSYNC(89,2.5),
  TESTVESICLESSYNC(93,2.5),
  TESTVESICLESSYNC(97,2.5),
  TESTVESICLESSYNC(101,2.5),
  TESTVESICLESSYNC(105,2.5),
  TESTVESICLESSYNC(109,2.5),
  TESTVESICLESSYNC(113,2.5)
) / (M3*F2), 0)</f>
        <v>0</v>
      </c>
      <c r="N7">
        <f ca="1">IFERROR(SUM(
  TESTVESICLESASYNC(1,2.75),
  TESTVESICLESASYNC(5,2.75),
  TESTVESICLESASYNC(9,2.75),
  TESTVESICLESASYNC(13,2.75),
  TESTVESICLESASYNC(17,2.75),
  TESTVESICLESASYNC(21,2.75),
  TESTVESICLESASYNC(25,2.75),
  TESTVESICLESASYNC(29,2.75),
  TESTVESICLESASYNC(33,2.75),
  TESTVESICLESASYNC(37,2.75),
  TESTVESICLESASYNC(41,2.75),
  TESTVESICLESASYNC(45,2.75),
  TESTVESICLESASYNC(49,2.75),
  TESTVESICLESASYNC(53,2.75),
  TESTVESICLESASYNC(57,2.75),
  TESTVESICLESASYNC(61,2.75),
  TESTVESICLESASYNC(65,2.75),
  TESTVESICLESASYNC(69,2.75),
  TESTVESICLESASYNC(73,2.75),
  TESTVESICLESASYNC(77,2.75),
  TESTVESICLESASYNC(81,2.75),
  TESTVESICLESASYNC(85,2.75),
  TESTVESICLESASYNC(89,2.75),
  TESTVESICLESASYNC(93,2.75),
  TESTVESICLESASYNC(97,2.75),
  TESTVESICLESASYNC(101,2.75),
  TESTVESICLESASYNC(105,2.75),
  TESTVESICLESASYNC(109,2.75),
  TESTVESICLESASYNC(113,2.75)
) / (N4*F2), 0)</f>
        <v>0</v>
      </c>
      <c r="O7">
        <f ca="1">IFERROR(SUM(
  TESTVESICLESSYNC(1,3),
  TESTVESICLESSYNC(5,3),
  TESTVESICLESSYNC(9,3),
  TESTVESICLESSYNC(13,3),
  TESTVESICLESSYNC(17,3),
  TESTVESICLESSYNC(21,3),
  TESTVESICLESSYNC(25,3),
  TESTVESICLESSYNC(29,3),
  TESTVESICLESSYNC(33,3),
  TESTVESICLESSYNC(37,3),
  TESTVESICLESSYNC(41,3),
  TESTVESICLESSYNC(45,3),
  TESTVESICLESSYNC(49,3),
  TESTVESICLESSYNC(53,3),
  TESTVESICLESSYNC(57,3),
  TESTVESICLESSYNC(61,3),
  TESTVESICLESSYNC(65,3),
  TESTVESICLESSYNC(69,3),
  TESTVESICLESSYNC(73,3),
  TESTVESICLESSYNC(77,3),
  TESTVESICLESSYNC(81,3),
  TESTVESICLESSYNC(85,3),
  TESTVESICLESSYNC(89,3),
  TESTVESICLESSYNC(93,3),
  TESTVESICLESSYNC(97,3),
  TESTVESICLESSYNC(101,3),
  TESTVESICLESSYNC(105,3),
  TESTVESICLESSYNC(109,3),
  TESTVESICLESSYNC(113,3)
) / (O3*F2), 0)</f>
        <v>0</v>
      </c>
      <c r="P7">
        <f ca="1">IFERROR(SUM(
  TESTVESICLESASYNC(1,3.25),
  TESTVESICLESASYNC(5,3.25),
  TESTVESICLESASYNC(9,3.25),
  TESTVESICLESASYNC(13,3.25),
  TESTVESICLESASYNC(17,3.25),
  TESTVESICLESASYNC(21,3.25),
  TESTVESICLESASYNC(25,3.25),
  TESTVESICLESASYNC(29,3.25),
  TESTVESICLESASYNC(33,3.25),
  TESTVESICLESASYNC(37,3.25),
  TESTVESICLESASYNC(41,3.25),
  TESTVESICLESASYNC(45,3.25),
  TESTVESICLESASYNC(49,3.25),
  TESTVESICLESASYNC(53,3.25),
  TESTVESICLESASYNC(57,3.25),
  TESTVESICLESASYNC(61,3.25),
  TESTVESICLESASYNC(65,3.25),
  TESTVESICLESASYNC(69,3.25),
  TESTVESICLESASYNC(73,3.25),
  TESTVESICLESASYNC(77,3.25),
  TESTVESICLESASYNC(81,3.25),
  TESTVESICLESASYNC(85,3.25),
  TESTVESICLESASYNC(89,3.25),
  TESTVESICLESASYNC(93,3.25),
  TESTVESICLESASYNC(97,3.25),
  TESTVESICLESASYNC(101,3.25),
  TESTVESICLESASYNC(105,3.25),
  TESTVESICLESASYNC(109,3.25),
  TESTVESICLESASYNC(113,3.25)
) / (P4*F2), 0)</f>
        <v>0</v>
      </c>
      <c r="Q7">
        <f ca="1">IFERROR(SUM(
  TESTVESICLESSYNC(1,3.5),
  TESTVESICLESSYNC(5,3.5),
  TESTVESICLESSYNC(9,3.5),
  TESTVESICLESSYNC(13,3.5),
  TESTVESICLESSYNC(17,3.5),
  TESTVESICLESSYNC(21,3.5),
  TESTVESICLESSYNC(25,3.5),
  TESTVESICLESSYNC(29,3.5),
  TESTVESICLESSYNC(33,3.5),
  TESTVESICLESSYNC(37,3.5),
  TESTVESICLESSYNC(41,3.5),
  TESTVESICLESSYNC(45,3.5),
  TESTVESICLESSYNC(49,3.5),
  TESTVESICLESSYNC(53,3.5),
  TESTVESICLESSYNC(57,3.5),
  TESTVESICLESSYNC(61,3.5),
  TESTVESICLESSYNC(65,3.5),
  TESTVESICLESSYNC(69,3.5),
  TESTVESICLESSYNC(73,3.5),
  TESTVESICLESSYNC(77,3.5),
  TESTVESICLESSYNC(81,3.5),
  TESTVESICLESSYNC(85,3.5),
  TESTVESICLESSYNC(89,3.5),
  TESTVESICLESSYNC(93,3.5),
  TESTVESICLESSYNC(97,3.5),
  TESTVESICLESSYNC(101,3.5),
  TESTVESICLESSYNC(105,3.5),
  TESTVESICLESSYNC(109,3.5),
  TESTVESICLESSYNC(113,3.5)
) / (Q3*F2), 0)</f>
        <v>0</v>
      </c>
      <c r="R7">
        <f ca="1">IFERROR(SUM(
  TESTVESICLESASYNC(1,3.75),
  TESTVESICLESASYNC(5,3.75),
  TESTVESICLESASYNC(9,3.75),
  TESTVESICLESASYNC(13,3.75),
  TESTVESICLESASYNC(17,3.75),
  TESTVESICLESASYNC(21,3.75),
  TESTVESICLESASYNC(25,3.75),
  TESTVESICLESASYNC(29,3.75),
  TESTVESICLESASYNC(33,3.75),
  TESTVESICLESASYNC(37,3.75),
  TESTVESICLESASYNC(41,3.75),
  TESTVESICLESASYNC(45,3.75),
  TESTVESICLESASYNC(49,3.75),
  TESTVESICLESASYNC(53,3.75),
  TESTVESICLESASYNC(57,3.75),
  TESTVESICLESASYNC(61,3.75),
  TESTVESICLESASYNC(65,3.75),
  TESTVESICLESASYNC(69,3.75),
  TESTVESICLESASYNC(73,3.75),
  TESTVESICLESASYNC(77,3.75),
  TESTVESICLESASYNC(81,3.75),
  TESTVESICLESASYNC(85,3.75),
  TESTVESICLESASYNC(89,3.75),
  TESTVESICLESASYNC(93,3.75),
  TESTVESICLESASYNC(97,3.75),
  TESTVESICLESASYNC(101,3.75),
  TESTVESICLESASYNC(105,3.75),
  TESTVESICLESASYNC(109,3.75),
  TESTVESICLESASYNC(113,3.75)
) / (R4*F2), 0)</f>
        <v>0</v>
      </c>
      <c r="S7">
        <f ca="1">IFERROR(SUM(
  TESTVESICLESSYNC(1,4),
  TESTVESICLESSYNC(5,4),
  TESTVESICLESSYNC(9,4),
  TESTVESICLESSYNC(13,4),
  TESTVESICLESSYNC(17,4),
  TESTVESICLESSYNC(21,4),
  TESTVESICLESSYNC(25,4),
  TESTVESICLESSYNC(29,4),
  TESTVESICLESSYNC(33,4),
  TESTVESICLESSYNC(37,4),
  TESTVESICLESSYNC(41,4),
  TESTVESICLESSYNC(45,4),
  TESTVESICLESSYNC(49,4),
  TESTVESICLESSYNC(53,4),
  TESTVESICLESSYNC(57,4),
  TESTVESICLESSYNC(61,4),
  TESTVESICLESSYNC(65,4),
  TESTVESICLESSYNC(69,4),
  TESTVESICLESSYNC(73,4),
  TESTVESICLESSYNC(77,4),
  TESTVESICLESSYNC(81,4),
  TESTVESICLESSYNC(85,4),
  TESTVESICLESSYNC(89,4),
  TESTVESICLESSYNC(93,4),
  TESTVESICLESSYNC(97,4),
  TESTVESICLESSYNC(101,4),
  TESTVESICLESSYNC(105,4),
  TESTVESICLESSYNC(109,4),
  TESTVESICLESSYNC(113,4)
) / (S3*F2), 0)</f>
        <v>0</v>
      </c>
      <c r="T7">
        <f ca="1">IFERROR(SUM(
  TESTVESICLESASYNC(1,4.25),
  TESTVESICLESASYNC(5,4.25),
  TESTVESICLESASYNC(9,4.25),
  TESTVESICLESASYNC(13,4.25),
  TESTVESICLESASYNC(17,4.25),
  TESTVESICLESASYNC(21,4.25),
  TESTVESICLESASYNC(25,4.25),
  TESTVESICLESASYNC(29,4.25),
  TESTVESICLESASYNC(33,4.25),
  TESTVESICLESASYNC(37,4.25),
  TESTVESICLESASYNC(41,4.25),
  TESTVESICLESASYNC(45,4.25),
  TESTVESICLESASYNC(49,4.25),
  TESTVESICLESASYNC(53,4.25),
  TESTVESICLESASYNC(57,4.25),
  TESTVESICLESASYNC(61,4.25),
  TESTVESICLESASYNC(65,4.25),
  TESTVESICLESASYNC(69,4.25),
  TESTVESICLESASYNC(73,4.25),
  TESTVESICLESASYNC(77,4.25),
  TESTVESICLESASYNC(81,4.25),
  TESTVESICLESASYNC(85,4.25),
  TESTVESICLESASYNC(89,4.25),
  TESTVESICLESASYNC(93,4.25),
  TESTVESICLESASYNC(97,4.25),
  TESTVESICLESASYNC(101,4.25),
  TESTVESICLESASYNC(105,4.25),
  TESTVESICLESASYNC(109,4.25),
  TESTVESICLESASYNC(113,4.25)
) / (T4*F2), 0)</f>
        <v>0</v>
      </c>
      <c r="U7">
        <f ca="1">IFERROR(SUM(
  TESTVESICLESSYNC(1,4.5),
  TESTVESICLESSYNC(5,4.5),
  TESTVESICLESSYNC(9,4.5),
  TESTVESICLESSYNC(13,4.5),
  TESTVESICLESSYNC(17,4.5),
  TESTVESICLESSYNC(21,4.5),
  TESTVESICLESSYNC(25,4.5),
  TESTVESICLESSYNC(29,4.5),
  TESTVESICLESSYNC(33,4.5),
  TESTVESICLESSYNC(37,4.5),
  TESTVESICLESSYNC(41,4.5),
  TESTVESICLESSYNC(45,4.5),
  TESTVESICLESSYNC(49,4.5),
  TESTVESICLESSYNC(53,4.5),
  TESTVESICLESSYNC(57,4.5),
  TESTVESICLESSYNC(61,4.5),
  TESTVESICLESSYNC(65,4.5),
  TESTVESICLESSYNC(69,4.5),
  TESTVESICLESSYNC(73,4.5),
  TESTVESICLESSYNC(77,4.5),
  TESTVESICLESSYNC(81,4.5),
  TESTVESICLESSYNC(85,4.5),
  TESTVESICLESSYNC(89,4.5),
  TESTVESICLESSYNC(93,4.5),
  TESTVESICLESSYNC(97,4.5),
  TESTVESICLESSYNC(101,4.5),
  TESTVESICLESSYNC(105,4.5),
  TESTVESICLESSYNC(109,4.5),
  TESTVESICLESSYNC(113,4.5)
) / (U3*F2), 0)</f>
        <v>0</v>
      </c>
      <c r="V7">
        <f ca="1">IFERROR(SUM(
  TESTVESICLESASYNC(1,4.75),
  TESTVESICLESASYNC(5,4.75),
  TESTVESICLESASYNC(9,4.75),
  TESTVESICLESASYNC(13,4.75),
  TESTVESICLESASYNC(17,4.75),
  TESTVESICLESASYNC(21,4.75),
  TESTVESICLESASYNC(25,4.75),
  TESTVESICLESASYNC(29,4.75),
  TESTVESICLESASYNC(33,4.75),
  TESTVESICLESASYNC(37,4.75),
  TESTVESICLESASYNC(41,4.75),
  TESTVESICLESASYNC(45,4.75),
  TESTVESICLESASYNC(49,4.75),
  TESTVESICLESASYNC(53,4.75),
  TESTVESICLESASYNC(57,4.75),
  TESTVESICLESASYNC(61,4.75),
  TESTVESICLESASYNC(65,4.75),
  TESTVESICLESASYNC(69,4.75),
  TESTVESICLESASYNC(73,4.75),
  TESTVESICLESASYNC(77,4.75),
  TESTVESICLESASYNC(81,4.75),
  TESTVESICLESASYNC(85,4.75),
  TESTVESICLESASYNC(89,4.75),
  TESTVESICLESASYNC(93,4.75),
  TESTVESICLESASYNC(97,4.75),
  TESTVESICLESASYNC(101,4.75),
  TESTVESICLESASYNC(105,4.75),
  TESTVESICLESASYNC(109,4.75),
  TESTVESICLESASYNC(113,4.75)
) / (V4*F2), 0)</f>
        <v>0</v>
      </c>
      <c r="W7">
        <f ca="1">IFERROR(SUM(
  TESTVESICLESSYNC(1,5),
  TESTVESICLESSYNC(5,5),
  TESTVESICLESSYNC(9,5),
  TESTVESICLESSYNC(13,5),
  TESTVESICLESSYNC(17,5),
  TESTVESICLESSYNC(21,5),
  TESTVESICLESSYNC(25,5),
  TESTVESICLESSYNC(29,5),
  TESTVESICLESSYNC(33,5),
  TESTVESICLESSYNC(37,5),
  TESTVESICLESSYNC(41,5),
  TESTVESICLESSYNC(45,5),
  TESTVESICLESSYNC(49,5),
  TESTVESICLESSYNC(53,5),
  TESTVESICLESSYNC(57,5),
  TESTVESICLESSYNC(61,5),
  TESTVESICLESSYNC(65,5),
  TESTVESICLESSYNC(69,5),
  TESTVESICLESSYNC(73,5),
  TESTVESICLESSYNC(77,5),
  TESTVESICLESSYNC(81,5),
  TESTVESICLESSYNC(85,5),
  TESTVESICLESSYNC(89,5),
  TESTVESICLESSYNC(93,5),
  TESTVESICLESSYNC(97,5),
  TESTVESICLESSYNC(101,5),
  TESTVESICLESSYNC(105,5),
  TESTVESICLESSYNC(109,5),
  TESTVESICLESSYNC(113,5)
) / (W3*F2), 0)</f>
        <v>0</v>
      </c>
      <c r="X7">
        <f ca="1">IFERROR(SUM(
  TESTVESICLESASYNC(1,5.25),
  TESTVESICLESASYNC(5,5.25),
  TESTVESICLESASYNC(9,5.25),
  TESTVESICLESASYNC(13,5.25),
  TESTVESICLESASYNC(17,5.25),
  TESTVESICLESASYNC(21,5.25),
  TESTVESICLESASYNC(25,5.25),
  TESTVESICLESASYNC(29,5.25),
  TESTVESICLESASYNC(33,5.25),
  TESTVESICLESASYNC(37,5.25),
  TESTVESICLESASYNC(41,5.25),
  TESTVESICLESASYNC(45,5.25),
  TESTVESICLESASYNC(49,5.25),
  TESTVESICLESASYNC(53,5.25),
  TESTVESICLESASYNC(57,5.25),
  TESTVESICLESASYNC(61,5.25),
  TESTVESICLESASYNC(65,5.25),
  TESTVESICLESASYNC(69,5.25),
  TESTVESICLESASYNC(73,5.25),
  TESTVESICLESASYNC(77,5.25),
  TESTVESICLESASYNC(81,5.25),
  TESTVESICLESASYNC(85,5.25),
  TESTVESICLESASYNC(89,5.25),
  TESTVESICLESASYNC(93,5.25),
  TESTVESICLESASYNC(97,5.25),
  TESTVESICLESASYNC(101,5.25),
  TESTVESICLESASYNC(105,5.25),
  TESTVESICLESASYNC(109,5.25),
  TESTVESICLESASYNC(113,5.25)
) / (X4*F2), 0)</f>
        <v>0</v>
      </c>
      <c r="Y7">
        <f ca="1">IFERROR(SUM(
  TESTVESICLESSYNC(1,5.5),
  TESTVESICLESSYNC(5,5.5),
  TESTVESICLESSYNC(9,5.5),
  TESTVESICLESSYNC(13,5.5),
  TESTVESICLESSYNC(17,5.5),
  TESTVESICLESSYNC(21,5.5),
  TESTVESICLESSYNC(25,5.5),
  TESTVESICLESSYNC(29,5.5),
  TESTVESICLESSYNC(33,5.5),
  TESTVESICLESSYNC(37,5.5),
  TESTVESICLESSYNC(41,5.5),
  TESTVESICLESSYNC(45,5.5),
  TESTVESICLESSYNC(49,5.5),
  TESTVESICLESSYNC(53,5.5),
  TESTVESICLESSYNC(57,5.5),
  TESTVESICLESSYNC(61,5.5),
  TESTVESICLESSYNC(65,5.5),
  TESTVESICLESSYNC(69,5.5),
  TESTVESICLESSYNC(73,5.5),
  TESTVESICLESSYNC(77,5.5),
  TESTVESICLESSYNC(81,5.5),
  TESTVESICLESSYNC(85,5.5),
  TESTVESICLESSYNC(89,5.5),
  TESTVESICLESSYNC(93,5.5),
  TESTVESICLESSYNC(97,5.5),
  TESTVESICLESSYNC(101,5.5),
  TESTVESICLESSYNC(105,5.5),
  TESTVESICLESSYNC(109,5.5),
  TESTVESICLESSYNC(113,5.5)
) / (Y3*F2), 0)</f>
        <v>0</v>
      </c>
      <c r="Z7">
        <f ca="1">IFERROR(SUM(
  TESTVESICLESASYNC(1,5.75),
  TESTVESICLESASYNC(5,5.75),
  TESTVESICLESASYNC(9,5.75),
  TESTVESICLESASYNC(13,5.75),
  TESTVESICLESASYNC(17,5.75),
  TESTVESICLESASYNC(21,5.75),
  TESTVESICLESASYNC(25,5.75),
  TESTVESICLESASYNC(29,5.75),
  TESTVESICLESASYNC(33,5.75),
  TESTVESICLESASYNC(37,5.75),
  TESTVESICLESASYNC(41,5.75),
  TESTVESICLESASYNC(45,5.75),
  TESTVESICLESASYNC(49,5.75),
  TESTVESICLESASYNC(53,5.75),
  TESTVESICLESASYNC(57,5.75),
  TESTVESICLESASYNC(61,5.75),
  TESTVESICLESASYNC(65,5.75),
  TESTVESICLESASYNC(69,5.75),
  TESTVESICLESASYNC(73,5.75),
  TESTVESICLESASYNC(77,5.75),
  TESTVESICLESASYNC(81,5.75),
  TESTVESICLESASYNC(85,5.75),
  TESTVESICLESASYNC(89,5.75),
  TESTVESICLESASYNC(93,5.75),
  TESTVESICLESASYNC(97,5.75),
  TESTVESICLESASYNC(101,5.75),
  TESTVESICLESASYNC(105,5.75),
  TESTVESICLESASYNC(109,5.75),
  TESTVESICLESASYNC(113,5.75)
) / (Z4*F2), 0)</f>
        <v>0</v>
      </c>
      <c r="AA7">
        <f ca="1">IFERROR(SUM(
  TESTVESICLESSPON(1,6),
  TESTVESICLESSPON(5,6),
  TESTVESICLESSPON(9,6),
  TESTVESICLESSPON(13,6),
  TESTVESICLESSPON(17,6),
  TESTVESICLESSPON(21,6),
  TESTVESICLESSPON(25,6),
  TESTVESICLESSPON(29,6),
  TESTVESICLESSPON(33,6),
  TESTVESICLESSPON(37,6),
  TESTVESICLESSPON(41,6),
  TESTVESICLESSPON(45,6),
  TESTVESICLESSPON(49,6),
  TESTVESICLESSPON(53,6),
  TESTVESICLESSPON(57,6),
  TESTVESICLESSPON(61,6),
  TESTVESICLESSPON(65,6),
  TESTVESICLESSPON(69,6),
  TESTVESICLESSPON(73,6),
  TESTVESICLESSPON(77,6),
  TESTVESICLESSPON(81,6),
  TESTVESICLESSPON(85,6),
  TESTVESICLESSPON(89,6),
  TESTVESICLESSPON(93,6),
  TESTVESICLESSPON(97,6),
  TESTVESICLESSPON(101,6),
  TESTVESICLESSPON(105,6),
  TESTVESICLESSPON(109,6),
  TESTVESICLESSPON(113,6)
) / (AA5*F2), 0)</f>
        <v>0</v>
      </c>
    </row>
    <row r="8" spans="1:29" x14ac:dyDescent="0.3">
      <c r="B8" s="2">
        <f t="shared" si="0"/>
        <v>0.6</v>
      </c>
      <c r="C8" s="2">
        <v>0</v>
      </c>
    </row>
    <row r="9" spans="1:29" x14ac:dyDescent="0.3">
      <c r="B9" s="2">
        <f t="shared" si="0"/>
        <v>0.7</v>
      </c>
      <c r="C9" s="2">
        <v>0</v>
      </c>
    </row>
    <row r="10" spans="1:29" x14ac:dyDescent="0.3">
      <c r="B10" s="2">
        <f t="shared" si="0"/>
        <v>0.79999999999999993</v>
      </c>
      <c r="C10" s="2">
        <v>0</v>
      </c>
    </row>
    <row r="11" spans="1:29" x14ac:dyDescent="0.3">
      <c r="B11" s="2">
        <f t="shared" si="0"/>
        <v>0.89999999999999991</v>
      </c>
      <c r="C11" s="2">
        <v>0</v>
      </c>
    </row>
    <row r="12" spans="1:29" x14ac:dyDescent="0.3">
      <c r="B12" s="2">
        <f t="shared" si="0"/>
        <v>0.99999999999999989</v>
      </c>
      <c r="C12" s="2">
        <v>0</v>
      </c>
    </row>
    <row r="13" spans="1:29" x14ac:dyDescent="0.3">
      <c r="B13" s="2">
        <f t="shared" si="0"/>
        <v>1.0999999999999999</v>
      </c>
      <c r="C13" s="2">
        <v>0</v>
      </c>
    </row>
    <row r="14" spans="1:29" x14ac:dyDescent="0.3">
      <c r="B14" s="2">
        <f t="shared" si="0"/>
        <v>1.2</v>
      </c>
      <c r="C14" s="2">
        <v>0</v>
      </c>
    </row>
    <row r="15" spans="1:29" x14ac:dyDescent="0.3">
      <c r="B15" s="2">
        <f t="shared" si="0"/>
        <v>1.3</v>
      </c>
      <c r="C15" s="2">
        <v>0</v>
      </c>
    </row>
    <row r="16" spans="1:29" x14ac:dyDescent="0.3">
      <c r="B16" s="2">
        <f t="shared" si="0"/>
        <v>1.4000000000000001</v>
      </c>
      <c r="C16" s="2">
        <v>0</v>
      </c>
    </row>
    <row r="17" spans="2:24" x14ac:dyDescent="0.3">
      <c r="B17" s="2">
        <f t="shared" si="0"/>
        <v>1.5000000000000002</v>
      </c>
      <c r="C17" s="2">
        <v>0</v>
      </c>
    </row>
    <row r="18" spans="2:24" x14ac:dyDescent="0.3">
      <c r="B18" s="2">
        <f t="shared" si="0"/>
        <v>1.6000000000000003</v>
      </c>
      <c r="C18" s="2">
        <v>0</v>
      </c>
    </row>
    <row r="19" spans="2:24" x14ac:dyDescent="0.3">
      <c r="B19" s="19">
        <f t="shared" si="0"/>
        <v>1.7000000000000004</v>
      </c>
      <c r="C19" s="2">
        <v>0</v>
      </c>
    </row>
    <row r="20" spans="2:24" x14ac:dyDescent="0.3">
      <c r="B20" s="19">
        <f t="shared" si="0"/>
        <v>1.8000000000000005</v>
      </c>
      <c r="C20" s="2">
        <v>0</v>
      </c>
      <c r="F20" s="10" t="s">
        <v>22</v>
      </c>
      <c r="G20" s="10" t="s">
        <v>23</v>
      </c>
    </row>
    <row r="21" spans="2:24" x14ac:dyDescent="0.3">
      <c r="B21" s="19">
        <f t="shared" si="0"/>
        <v>1.9000000000000006</v>
      </c>
      <c r="C21" s="2">
        <v>0</v>
      </c>
      <c r="F21">
        <v>0</v>
      </c>
      <c r="G21" s="2">
        <v>0</v>
      </c>
      <c r="U21" s="13" t="s">
        <v>27</v>
      </c>
      <c r="V21" s="13" t="s">
        <v>26</v>
      </c>
      <c r="W21" s="13" t="s">
        <v>28</v>
      </c>
      <c r="X21" s="13" t="s">
        <v>4</v>
      </c>
    </row>
    <row r="22" spans="2:24" x14ac:dyDescent="0.3">
      <c r="B22" s="19">
        <f t="shared" si="0"/>
        <v>2.0000000000000004</v>
      </c>
      <c r="C22" s="2">
        <v>0</v>
      </c>
      <c r="F22">
        <v>0.1</v>
      </c>
      <c r="G22" s="2">
        <v>0</v>
      </c>
      <c r="U22" t="s">
        <v>15</v>
      </c>
      <c r="V22" s="23">
        <f ca="1">AVERAGE(G3, I3, K3, M3,O3, Q3,S3, U3, W3, Y3)</f>
        <v>0</v>
      </c>
      <c r="W22">
        <f ca="1">IFERROR(SUM(G6, I6, K6, M6, O6, Q6, S6, U6, W6, Y6) /
(SIGN(G6&lt;&gt;0) + SIGN(I6&lt;&gt;0) + SIGN(K6&lt;&gt;0) + SIGN(M6&lt;&gt;0) + SIGN(O6&lt;&gt;0) + SIGN(Q6&lt;&gt;0) + SIGN(S6&lt;&gt;0) + SIGN(U6&lt;&gt;0) + SIGN(W6&lt;&gt;0) + SIGN(Y6&lt;&gt;0)), 0)</f>
        <v>0</v>
      </c>
      <c r="X22">
        <f ca="1">IFERROR(SUM(G7, I7, K7, M7, O7, Q7, S7, U7, W7, Y7) /
(SIGN(G7&lt;&gt;0) + SIGN(I7&lt;&gt;0) + SIGN(K7&lt;&gt;0) + SIGN(M7&lt;&gt;0) + SIGN(O7&lt;&gt;0) + SIGN(Q7&lt;&gt;0) + SIGN(S7&lt;&gt;0) + SIGN(U7&lt;&gt;0) + SIGN(W7&lt;&gt;0) + SIGN(Y7&lt;&gt;0)), 0)</f>
        <v>0</v>
      </c>
    </row>
    <row r="23" spans="2:24" x14ac:dyDescent="0.3">
      <c r="B23" s="19">
        <f t="shared" si="0"/>
        <v>2.1000000000000005</v>
      </c>
      <c r="C23" s="2">
        <v>0</v>
      </c>
      <c r="F23">
        <v>0.2</v>
      </c>
      <c r="G23" s="2">
        <v>0</v>
      </c>
      <c r="U23" t="s">
        <v>1</v>
      </c>
      <c r="V23" s="23">
        <f ca="1">AVERAGE(H4,J4,L4,N4,P4,R4,T4,V4,X4,Z4)</f>
        <v>0</v>
      </c>
      <c r="W23">
        <f ca="1">IFERROR(SUM(H6, J6, L6, N6, P6, R6, T6, V6, X6, Z6) /
(SIGN(H6&lt;&gt;0) + SIGN(J6&lt;&gt;0) + SIGN(L6&lt;&gt;0) + SIGN(N6&lt;&gt;0) + SIGN(P6&lt;&gt;0) + SIGN(R6&lt;&gt;0) + SIGN(T6&lt;&gt;0) + SIGN(V6&lt;&gt;0) + SIGN(X6&lt;&gt;0) + SIGN(Z6&lt;&gt;0)), 0)</f>
        <v>0</v>
      </c>
      <c r="X23">
        <f ca="1">IFERROR(SUM(H7, J7, L7, N7, P7, R7, T7, V7, X7, Z7) /
(SIGN(H7&lt;&gt;0) + SIGN(J7&lt;&gt;0) + SIGN(L7&lt;&gt;0) + SIGN(N7&lt;&gt;0) + SIGN(P7&lt;&gt;0) + SIGN(R7&lt;&gt;0) + SIGN(T7&lt;&gt;0) + SIGN(V7&lt;&gt;0) + SIGN(X7&lt;&gt;0) + SIGN(Z7&lt;&gt;0)), 0)</f>
        <v>0</v>
      </c>
    </row>
    <row r="24" spans="2:24" x14ac:dyDescent="0.3">
      <c r="B24" s="19">
        <f t="shared" si="0"/>
        <v>2.2000000000000006</v>
      </c>
      <c r="C24" s="2">
        <v>0</v>
      </c>
      <c r="F24">
        <v>0.30000000000000004</v>
      </c>
      <c r="G24" s="2">
        <v>0</v>
      </c>
      <c r="U24" t="s">
        <v>6</v>
      </c>
      <c r="V24" s="23">
        <f ca="1">AA5</f>
        <v>0</v>
      </c>
      <c r="W24">
        <f ca="1">AA6</f>
        <v>0</v>
      </c>
      <c r="X24">
        <f ca="1">AA7</f>
        <v>0</v>
      </c>
    </row>
    <row r="25" spans="2:24" x14ac:dyDescent="0.3">
      <c r="B25" s="19">
        <f t="shared" si="0"/>
        <v>2.3000000000000007</v>
      </c>
      <c r="C25" s="2">
        <v>0</v>
      </c>
      <c r="F25">
        <v>0.4</v>
      </c>
      <c r="G25" s="2">
        <v>0</v>
      </c>
    </row>
    <row r="26" spans="2:24" x14ac:dyDescent="0.3">
      <c r="B26" s="2">
        <f t="shared" si="0"/>
        <v>2.4000000000000008</v>
      </c>
      <c r="C26" s="2">
        <v>0</v>
      </c>
      <c r="F26">
        <v>0.5</v>
      </c>
      <c r="G26" s="2">
        <v>0</v>
      </c>
    </row>
    <row r="27" spans="2:24" x14ac:dyDescent="0.3">
      <c r="B27" s="2">
        <f t="shared" si="0"/>
        <v>2.5000000000000009</v>
      </c>
      <c r="C27" s="2">
        <v>0</v>
      </c>
      <c r="F27">
        <v>0.6</v>
      </c>
      <c r="G27" s="2">
        <v>0</v>
      </c>
    </row>
    <row r="28" spans="2:24" x14ac:dyDescent="0.3">
      <c r="B28" s="2">
        <f t="shared" si="0"/>
        <v>2.600000000000001</v>
      </c>
      <c r="C28" s="2">
        <v>0</v>
      </c>
      <c r="F28">
        <v>0.7</v>
      </c>
      <c r="G28" s="2">
        <v>0</v>
      </c>
    </row>
    <row r="29" spans="2:24" x14ac:dyDescent="0.3">
      <c r="B29" s="19">
        <f t="shared" si="0"/>
        <v>2.7000000000000011</v>
      </c>
      <c r="C29" s="2">
        <v>0</v>
      </c>
      <c r="F29">
        <v>0.79999999999999993</v>
      </c>
      <c r="G29" s="2">
        <v>0</v>
      </c>
    </row>
    <row r="30" spans="2:24" x14ac:dyDescent="0.3">
      <c r="B30" s="19">
        <f t="shared" si="0"/>
        <v>2.8000000000000012</v>
      </c>
      <c r="C30" s="2">
        <v>0</v>
      </c>
      <c r="F30">
        <v>0.89999999999999991</v>
      </c>
      <c r="G30" s="2">
        <v>0</v>
      </c>
    </row>
    <row r="31" spans="2:24" x14ac:dyDescent="0.3">
      <c r="B31" s="19">
        <f t="shared" si="0"/>
        <v>2.9000000000000012</v>
      </c>
      <c r="C31" s="2">
        <v>0</v>
      </c>
      <c r="F31">
        <v>0.99999999999999989</v>
      </c>
      <c r="G31" s="2">
        <v>0</v>
      </c>
    </row>
    <row r="32" spans="2:24" x14ac:dyDescent="0.3">
      <c r="B32" s="19">
        <f t="shared" si="0"/>
        <v>3.0000000000000013</v>
      </c>
      <c r="C32" s="2">
        <v>0</v>
      </c>
      <c r="F32">
        <v>1.0999999999999999</v>
      </c>
      <c r="G32" s="2">
        <v>0</v>
      </c>
    </row>
    <row r="33" spans="2:27" x14ac:dyDescent="0.3">
      <c r="B33" s="19">
        <f t="shared" si="0"/>
        <v>3.1000000000000014</v>
      </c>
      <c r="C33" s="2">
        <v>0</v>
      </c>
      <c r="F33">
        <v>1.2</v>
      </c>
      <c r="G33" s="2">
        <v>0</v>
      </c>
    </row>
    <row r="34" spans="2:27" x14ac:dyDescent="0.3">
      <c r="B34" s="19">
        <f t="shared" si="0"/>
        <v>3.2000000000000015</v>
      </c>
      <c r="C34" s="2">
        <v>0</v>
      </c>
      <c r="F34">
        <v>1.3</v>
      </c>
      <c r="G34" s="2">
        <v>0</v>
      </c>
    </row>
    <row r="35" spans="2:27" x14ac:dyDescent="0.3">
      <c r="B35" s="19">
        <f t="shared" si="0"/>
        <v>3.3000000000000016</v>
      </c>
      <c r="C35" s="2">
        <v>0</v>
      </c>
      <c r="F35">
        <v>1.4000000000000001</v>
      </c>
      <c r="G35" s="2">
        <v>0</v>
      </c>
    </row>
    <row r="36" spans="2:27" x14ac:dyDescent="0.3">
      <c r="B36" s="2">
        <f t="shared" si="0"/>
        <v>3.4000000000000017</v>
      </c>
      <c r="C36" s="2">
        <v>0</v>
      </c>
      <c r="F36">
        <v>1.5000000000000002</v>
      </c>
      <c r="G36" s="2">
        <v>0</v>
      </c>
    </row>
    <row r="37" spans="2:27" x14ac:dyDescent="0.3">
      <c r="B37" s="2">
        <f t="shared" si="0"/>
        <v>3.5000000000000018</v>
      </c>
      <c r="C37" s="2">
        <v>0</v>
      </c>
      <c r="F37">
        <v>1.6000000000000003</v>
      </c>
      <c r="G37" s="2">
        <v>0</v>
      </c>
    </row>
    <row r="38" spans="2:27" x14ac:dyDescent="0.3">
      <c r="B38" s="2">
        <f t="shared" si="0"/>
        <v>3.6000000000000019</v>
      </c>
      <c r="C38" s="2">
        <v>0</v>
      </c>
      <c r="F38">
        <v>1.7000000000000004</v>
      </c>
      <c r="G38" s="2">
        <f t="shared" ref="G38:G44" si="1">AVERAGE(C19,C29,C39,C49,C59,C69,C79,C89,C99,C109)</f>
        <v>0</v>
      </c>
    </row>
    <row r="39" spans="2:27" x14ac:dyDescent="0.3">
      <c r="B39" s="19">
        <f t="shared" si="0"/>
        <v>3.700000000000002</v>
      </c>
      <c r="C39" s="2">
        <v>0</v>
      </c>
      <c r="F39">
        <v>1.8000000000000005</v>
      </c>
      <c r="G39" s="2">
        <f t="shared" si="1"/>
        <v>0</v>
      </c>
    </row>
    <row r="40" spans="2:27" x14ac:dyDescent="0.3">
      <c r="B40" s="19">
        <f t="shared" si="0"/>
        <v>3.800000000000002</v>
      </c>
      <c r="C40" s="2">
        <v>0</v>
      </c>
      <c r="F40">
        <v>1.9000000000000006</v>
      </c>
      <c r="G40" s="2">
        <f t="shared" si="1"/>
        <v>0</v>
      </c>
    </row>
    <row r="41" spans="2:27" x14ac:dyDescent="0.3">
      <c r="B41" s="19">
        <f t="shared" si="0"/>
        <v>3.9000000000000021</v>
      </c>
      <c r="C41" s="2">
        <v>0</v>
      </c>
      <c r="F41">
        <v>2.0000000000000004</v>
      </c>
      <c r="G41" s="2">
        <f t="shared" si="1"/>
        <v>0</v>
      </c>
    </row>
    <row r="42" spans="2:27" x14ac:dyDescent="0.3">
      <c r="B42" s="19">
        <f t="shared" si="0"/>
        <v>4.0000000000000018</v>
      </c>
      <c r="C42" s="2">
        <v>0</v>
      </c>
      <c r="F42">
        <v>2.1000000000000005</v>
      </c>
      <c r="G42" s="2">
        <f t="shared" si="1"/>
        <v>0</v>
      </c>
      <c r="H42" s="14"/>
      <c r="I42" s="15"/>
      <c r="J42" s="14"/>
      <c r="K42" s="15"/>
      <c r="L42" s="14"/>
      <c r="M42" s="15"/>
      <c r="N42" s="14"/>
      <c r="O42" s="15"/>
      <c r="P42" s="14"/>
      <c r="Q42" s="15"/>
      <c r="R42" s="14"/>
      <c r="S42" s="15"/>
      <c r="T42" s="14"/>
      <c r="U42" s="15"/>
      <c r="V42" s="14"/>
      <c r="W42" s="15"/>
      <c r="X42" s="14"/>
      <c r="Y42" s="15"/>
      <c r="Z42" s="14"/>
      <c r="AA42" s="16"/>
    </row>
    <row r="43" spans="2:27" x14ac:dyDescent="0.3">
      <c r="B43" s="19">
        <f t="shared" si="0"/>
        <v>4.1000000000000014</v>
      </c>
      <c r="C43" s="2">
        <v>0</v>
      </c>
      <c r="F43">
        <v>2.2000000000000006</v>
      </c>
      <c r="G43" s="2">
        <f t="shared" si="1"/>
        <v>0</v>
      </c>
    </row>
    <row r="44" spans="2:27" x14ac:dyDescent="0.3">
      <c r="B44" s="19">
        <f t="shared" si="0"/>
        <v>4.2000000000000011</v>
      </c>
      <c r="C44" s="2">
        <v>0</v>
      </c>
      <c r="F44">
        <v>2.3000000000000007</v>
      </c>
      <c r="G44" s="2">
        <f t="shared" si="1"/>
        <v>0</v>
      </c>
    </row>
    <row r="45" spans="2:27" x14ac:dyDescent="0.3">
      <c r="B45" s="19">
        <f t="shared" si="0"/>
        <v>4.3000000000000007</v>
      </c>
      <c r="C45" s="2">
        <v>0</v>
      </c>
      <c r="F45">
        <v>2.4000000000000008</v>
      </c>
      <c r="G45" s="2">
        <v>0</v>
      </c>
    </row>
    <row r="46" spans="2:27" x14ac:dyDescent="0.3">
      <c r="B46" s="2">
        <f t="shared" si="0"/>
        <v>4.4000000000000004</v>
      </c>
      <c r="C46" s="2">
        <v>0</v>
      </c>
      <c r="F46">
        <v>2.5000000000000009</v>
      </c>
      <c r="G46" s="2">
        <v>0</v>
      </c>
    </row>
    <row r="47" spans="2:27" x14ac:dyDescent="0.3">
      <c r="B47" s="2">
        <f t="shared" si="0"/>
        <v>4.5</v>
      </c>
      <c r="C47" s="2">
        <v>0</v>
      </c>
      <c r="F47">
        <v>2.600000000000001</v>
      </c>
      <c r="G47" s="2">
        <v>0</v>
      </c>
    </row>
    <row r="48" spans="2:27" x14ac:dyDescent="0.3">
      <c r="B48" s="2">
        <f t="shared" si="0"/>
        <v>4.5999999999999996</v>
      </c>
      <c r="C48" s="2">
        <v>0</v>
      </c>
      <c r="F48">
        <v>2.7000000000000011</v>
      </c>
      <c r="G48" s="2">
        <v>0</v>
      </c>
    </row>
    <row r="49" spans="2:3" x14ac:dyDescent="0.3">
      <c r="B49" s="19">
        <f t="shared" si="0"/>
        <v>4.6999999999999993</v>
      </c>
      <c r="C49" s="2">
        <v>0</v>
      </c>
    </row>
    <row r="50" spans="2:3" x14ac:dyDescent="0.3">
      <c r="B50" s="19">
        <f t="shared" si="0"/>
        <v>4.7999999999999989</v>
      </c>
      <c r="C50" s="2">
        <v>0</v>
      </c>
    </row>
    <row r="51" spans="2:3" x14ac:dyDescent="0.3">
      <c r="B51" s="19">
        <f t="shared" si="0"/>
        <v>4.8999999999999986</v>
      </c>
      <c r="C51" s="2">
        <v>0</v>
      </c>
    </row>
    <row r="52" spans="2:3" x14ac:dyDescent="0.3">
      <c r="B52" s="19">
        <f t="shared" si="0"/>
        <v>4.9999999999999982</v>
      </c>
      <c r="C52" s="2">
        <v>0</v>
      </c>
    </row>
    <row r="53" spans="2:3" x14ac:dyDescent="0.3">
      <c r="B53" s="19">
        <f t="shared" si="0"/>
        <v>5.0999999999999979</v>
      </c>
      <c r="C53" s="2">
        <v>0</v>
      </c>
    </row>
    <row r="54" spans="2:3" x14ac:dyDescent="0.3">
      <c r="B54" s="19">
        <f t="shared" si="0"/>
        <v>5.1999999999999975</v>
      </c>
      <c r="C54" s="2">
        <v>0</v>
      </c>
    </row>
    <row r="55" spans="2:3" x14ac:dyDescent="0.3">
      <c r="B55" s="19">
        <f t="shared" si="0"/>
        <v>5.2999999999999972</v>
      </c>
      <c r="C55" s="2">
        <v>0</v>
      </c>
    </row>
    <row r="56" spans="2:3" x14ac:dyDescent="0.3">
      <c r="B56" s="2">
        <f t="shared" si="0"/>
        <v>5.3999999999999968</v>
      </c>
      <c r="C56" s="2">
        <v>0</v>
      </c>
    </row>
    <row r="57" spans="2:3" x14ac:dyDescent="0.3">
      <c r="B57" s="2">
        <f t="shared" si="0"/>
        <v>5.4999999999999964</v>
      </c>
      <c r="C57" s="2">
        <v>0</v>
      </c>
    </row>
    <row r="58" spans="2:3" x14ac:dyDescent="0.3">
      <c r="B58" s="2">
        <f t="shared" si="0"/>
        <v>5.5999999999999961</v>
      </c>
      <c r="C58" s="2">
        <v>0</v>
      </c>
    </row>
    <row r="59" spans="2:3" x14ac:dyDescent="0.3">
      <c r="B59" s="19">
        <f t="shared" si="0"/>
        <v>5.6999999999999957</v>
      </c>
      <c r="C59" s="2">
        <v>0</v>
      </c>
    </row>
    <row r="60" spans="2:3" x14ac:dyDescent="0.3">
      <c r="B60" s="19">
        <f t="shared" si="0"/>
        <v>5.7999999999999954</v>
      </c>
      <c r="C60" s="2">
        <v>0</v>
      </c>
    </row>
    <row r="61" spans="2:3" x14ac:dyDescent="0.3">
      <c r="B61" s="19">
        <f t="shared" si="0"/>
        <v>5.899999999999995</v>
      </c>
      <c r="C61" s="2">
        <v>0</v>
      </c>
    </row>
    <row r="62" spans="2:3" x14ac:dyDescent="0.3">
      <c r="B62" s="19">
        <f t="shared" si="0"/>
        <v>5.9999999999999947</v>
      </c>
      <c r="C62" s="2">
        <v>0</v>
      </c>
    </row>
    <row r="63" spans="2:3" x14ac:dyDescent="0.3">
      <c r="B63" s="19">
        <f t="shared" si="0"/>
        <v>6.0999999999999943</v>
      </c>
      <c r="C63" s="2">
        <v>0</v>
      </c>
    </row>
    <row r="64" spans="2:3" x14ac:dyDescent="0.3">
      <c r="B64" s="19">
        <f t="shared" si="0"/>
        <v>6.199999999999994</v>
      </c>
      <c r="C64" s="2">
        <v>0</v>
      </c>
    </row>
    <row r="65" spans="2:3" x14ac:dyDescent="0.3">
      <c r="B65" s="19">
        <f t="shared" si="0"/>
        <v>6.2999999999999936</v>
      </c>
      <c r="C65" s="2">
        <v>0</v>
      </c>
    </row>
    <row r="66" spans="2:3" x14ac:dyDescent="0.3">
      <c r="B66" s="2">
        <f t="shared" si="0"/>
        <v>6.3999999999999932</v>
      </c>
      <c r="C66" s="2">
        <v>0</v>
      </c>
    </row>
    <row r="67" spans="2:3" x14ac:dyDescent="0.3">
      <c r="B67" s="2">
        <f t="shared" si="0"/>
        <v>6.4999999999999929</v>
      </c>
      <c r="C67" s="2">
        <v>0</v>
      </c>
    </row>
    <row r="68" spans="2:3" x14ac:dyDescent="0.3">
      <c r="B68" s="2">
        <f t="shared" ref="B68:B131" si="2">B67+0.1</f>
        <v>6.5999999999999925</v>
      </c>
      <c r="C68" s="2">
        <v>0</v>
      </c>
    </row>
    <row r="69" spans="2:3" x14ac:dyDescent="0.3">
      <c r="B69" s="19">
        <f t="shared" si="2"/>
        <v>6.6999999999999922</v>
      </c>
      <c r="C69" s="2">
        <v>0</v>
      </c>
    </row>
    <row r="70" spans="2:3" x14ac:dyDescent="0.3">
      <c r="B70" s="19">
        <f t="shared" si="2"/>
        <v>6.7999999999999918</v>
      </c>
      <c r="C70" s="2">
        <v>0</v>
      </c>
    </row>
    <row r="71" spans="2:3" x14ac:dyDescent="0.3">
      <c r="B71" s="19">
        <f t="shared" si="2"/>
        <v>6.8999999999999915</v>
      </c>
      <c r="C71" s="2">
        <v>0</v>
      </c>
    </row>
    <row r="72" spans="2:3" x14ac:dyDescent="0.3">
      <c r="B72" s="19">
        <f t="shared" si="2"/>
        <v>6.9999999999999911</v>
      </c>
      <c r="C72" s="2">
        <v>0</v>
      </c>
    </row>
    <row r="73" spans="2:3" x14ac:dyDescent="0.3">
      <c r="B73" s="19">
        <f t="shared" si="2"/>
        <v>7.0999999999999908</v>
      </c>
      <c r="C73" s="2">
        <v>0</v>
      </c>
    </row>
    <row r="74" spans="2:3" x14ac:dyDescent="0.3">
      <c r="B74" s="19">
        <f t="shared" si="2"/>
        <v>7.1999999999999904</v>
      </c>
      <c r="C74" s="2">
        <v>0</v>
      </c>
    </row>
    <row r="75" spans="2:3" x14ac:dyDescent="0.3">
      <c r="B75" s="19">
        <f t="shared" si="2"/>
        <v>7.2999999999999901</v>
      </c>
      <c r="C75" s="2">
        <v>0</v>
      </c>
    </row>
    <row r="76" spans="2:3" x14ac:dyDescent="0.3">
      <c r="B76" s="2">
        <f t="shared" si="2"/>
        <v>7.3999999999999897</v>
      </c>
      <c r="C76" s="2">
        <v>0</v>
      </c>
    </row>
    <row r="77" spans="2:3" x14ac:dyDescent="0.3">
      <c r="B77" s="2">
        <f t="shared" si="2"/>
        <v>7.4999999999999893</v>
      </c>
      <c r="C77" s="2">
        <v>0</v>
      </c>
    </row>
    <row r="78" spans="2:3" x14ac:dyDescent="0.3">
      <c r="B78" s="2">
        <f t="shared" si="2"/>
        <v>7.599999999999989</v>
      </c>
      <c r="C78" s="2">
        <v>0</v>
      </c>
    </row>
    <row r="79" spans="2:3" x14ac:dyDescent="0.3">
      <c r="B79" s="19">
        <f t="shared" si="2"/>
        <v>7.6999999999999886</v>
      </c>
      <c r="C79" s="2">
        <v>0</v>
      </c>
    </row>
    <row r="80" spans="2:3" x14ac:dyDescent="0.3">
      <c r="B80" s="19">
        <f t="shared" si="2"/>
        <v>7.7999999999999883</v>
      </c>
      <c r="C80" s="2">
        <v>0</v>
      </c>
    </row>
    <row r="81" spans="2:3" x14ac:dyDescent="0.3">
      <c r="B81" s="19">
        <f t="shared" si="2"/>
        <v>7.8999999999999879</v>
      </c>
      <c r="C81" s="2">
        <v>0</v>
      </c>
    </row>
    <row r="82" spans="2:3" x14ac:dyDescent="0.3">
      <c r="B82" s="19">
        <f t="shared" si="2"/>
        <v>7.9999999999999876</v>
      </c>
      <c r="C82" s="2">
        <v>0</v>
      </c>
    </row>
    <row r="83" spans="2:3" x14ac:dyDescent="0.3">
      <c r="B83" s="19">
        <f t="shared" si="2"/>
        <v>8.0999999999999872</v>
      </c>
      <c r="C83" s="2">
        <v>0</v>
      </c>
    </row>
    <row r="84" spans="2:3" x14ac:dyDescent="0.3">
      <c r="B84" s="19">
        <f t="shared" si="2"/>
        <v>8.1999999999999869</v>
      </c>
      <c r="C84" s="2">
        <v>0</v>
      </c>
    </row>
    <row r="85" spans="2:3" x14ac:dyDescent="0.3">
      <c r="B85" s="19">
        <f t="shared" si="2"/>
        <v>8.2999999999999865</v>
      </c>
      <c r="C85" s="2">
        <v>0</v>
      </c>
    </row>
    <row r="86" spans="2:3" x14ac:dyDescent="0.3">
      <c r="B86" s="2">
        <f t="shared" si="2"/>
        <v>8.3999999999999861</v>
      </c>
      <c r="C86" s="2">
        <v>0</v>
      </c>
    </row>
    <row r="87" spans="2:3" x14ac:dyDescent="0.3">
      <c r="B87" s="2">
        <f t="shared" si="2"/>
        <v>8.4999999999999858</v>
      </c>
      <c r="C87" s="2">
        <v>0</v>
      </c>
    </row>
    <row r="88" spans="2:3" x14ac:dyDescent="0.3">
      <c r="B88" s="2">
        <f t="shared" si="2"/>
        <v>8.5999999999999854</v>
      </c>
      <c r="C88" s="2">
        <v>0</v>
      </c>
    </row>
    <row r="89" spans="2:3" x14ac:dyDescent="0.3">
      <c r="B89" s="19">
        <f t="shared" si="2"/>
        <v>8.6999999999999851</v>
      </c>
      <c r="C89" s="2">
        <v>0</v>
      </c>
    </row>
    <row r="90" spans="2:3" x14ac:dyDescent="0.3">
      <c r="B90" s="19">
        <f t="shared" si="2"/>
        <v>8.7999999999999847</v>
      </c>
      <c r="C90" s="2">
        <v>0</v>
      </c>
    </row>
    <row r="91" spans="2:3" x14ac:dyDescent="0.3">
      <c r="B91" s="19">
        <f t="shared" si="2"/>
        <v>8.8999999999999844</v>
      </c>
      <c r="C91" s="2">
        <v>0</v>
      </c>
    </row>
    <row r="92" spans="2:3" x14ac:dyDescent="0.3">
      <c r="B92" s="19">
        <f t="shared" si="2"/>
        <v>8.999999999999984</v>
      </c>
      <c r="C92" s="2">
        <v>0</v>
      </c>
    </row>
    <row r="93" spans="2:3" x14ac:dyDescent="0.3">
      <c r="B93" s="19">
        <f t="shared" si="2"/>
        <v>9.0999999999999837</v>
      </c>
      <c r="C93" s="2">
        <v>0</v>
      </c>
    </row>
    <row r="94" spans="2:3" x14ac:dyDescent="0.3">
      <c r="B94" s="19">
        <f t="shared" si="2"/>
        <v>9.1999999999999833</v>
      </c>
      <c r="C94" s="2">
        <v>0</v>
      </c>
    </row>
    <row r="95" spans="2:3" x14ac:dyDescent="0.3">
      <c r="B95" s="19">
        <f t="shared" si="2"/>
        <v>9.2999999999999829</v>
      </c>
      <c r="C95" s="2">
        <v>0</v>
      </c>
    </row>
    <row r="96" spans="2:3" x14ac:dyDescent="0.3">
      <c r="B96" s="2">
        <f t="shared" si="2"/>
        <v>9.3999999999999826</v>
      </c>
      <c r="C96" s="2">
        <v>0</v>
      </c>
    </row>
    <row r="97" spans="2:3" x14ac:dyDescent="0.3">
      <c r="B97" s="2">
        <f t="shared" si="2"/>
        <v>9.4999999999999822</v>
      </c>
      <c r="C97" s="2">
        <v>0</v>
      </c>
    </row>
    <row r="98" spans="2:3" x14ac:dyDescent="0.3">
      <c r="B98" s="2">
        <f t="shared" si="2"/>
        <v>9.5999999999999819</v>
      </c>
      <c r="C98" s="2">
        <v>0</v>
      </c>
    </row>
    <row r="99" spans="2:3" x14ac:dyDescent="0.3">
      <c r="B99" s="19">
        <f t="shared" si="2"/>
        <v>9.6999999999999815</v>
      </c>
      <c r="C99" s="2">
        <v>0</v>
      </c>
    </row>
    <row r="100" spans="2:3" x14ac:dyDescent="0.3">
      <c r="B100" s="19">
        <f t="shared" si="2"/>
        <v>9.7999999999999812</v>
      </c>
      <c r="C100" s="2">
        <v>0</v>
      </c>
    </row>
    <row r="101" spans="2:3" x14ac:dyDescent="0.3">
      <c r="B101" s="19">
        <f t="shared" si="2"/>
        <v>9.8999999999999808</v>
      </c>
      <c r="C101" s="2">
        <v>0</v>
      </c>
    </row>
    <row r="102" spans="2:3" x14ac:dyDescent="0.3">
      <c r="B102" s="19">
        <f t="shared" si="2"/>
        <v>9.9999999999999805</v>
      </c>
      <c r="C102" s="2">
        <v>0</v>
      </c>
    </row>
    <row r="103" spans="2:3" x14ac:dyDescent="0.3">
      <c r="B103" s="19">
        <f t="shared" si="2"/>
        <v>10.09999999999998</v>
      </c>
      <c r="C103" s="2">
        <v>0</v>
      </c>
    </row>
    <row r="104" spans="2:3" x14ac:dyDescent="0.3">
      <c r="B104" s="19">
        <f t="shared" si="2"/>
        <v>10.19999999999998</v>
      </c>
      <c r="C104" s="2">
        <v>0</v>
      </c>
    </row>
    <row r="105" spans="2:3" x14ac:dyDescent="0.3">
      <c r="B105" s="19">
        <f t="shared" si="2"/>
        <v>10.299999999999979</v>
      </c>
      <c r="C105" s="2">
        <v>0</v>
      </c>
    </row>
    <row r="106" spans="2:3" x14ac:dyDescent="0.3">
      <c r="B106" s="2">
        <f t="shared" si="2"/>
        <v>10.399999999999979</v>
      </c>
      <c r="C106" s="2">
        <v>0</v>
      </c>
    </row>
    <row r="107" spans="2:3" x14ac:dyDescent="0.3">
      <c r="B107" s="2">
        <f t="shared" si="2"/>
        <v>10.499999999999979</v>
      </c>
      <c r="C107" s="2">
        <v>0</v>
      </c>
    </row>
    <row r="108" spans="2:3" x14ac:dyDescent="0.3">
      <c r="B108" s="2">
        <f t="shared" si="2"/>
        <v>10.599999999999978</v>
      </c>
      <c r="C108" s="2">
        <v>0</v>
      </c>
    </row>
    <row r="109" spans="2:3" x14ac:dyDescent="0.3">
      <c r="B109" s="19">
        <f t="shared" si="2"/>
        <v>10.699999999999978</v>
      </c>
      <c r="C109" s="2">
        <v>0</v>
      </c>
    </row>
    <row r="110" spans="2:3" x14ac:dyDescent="0.3">
      <c r="B110" s="19">
        <f t="shared" si="2"/>
        <v>10.799999999999978</v>
      </c>
      <c r="C110" s="2">
        <v>0</v>
      </c>
    </row>
    <row r="111" spans="2:3" x14ac:dyDescent="0.3">
      <c r="B111" s="19">
        <f t="shared" si="2"/>
        <v>10.899999999999977</v>
      </c>
      <c r="C111" s="2">
        <v>0</v>
      </c>
    </row>
    <row r="112" spans="2:3" x14ac:dyDescent="0.3">
      <c r="B112" s="19">
        <f t="shared" si="2"/>
        <v>10.999999999999977</v>
      </c>
      <c r="C112" s="2">
        <v>0</v>
      </c>
    </row>
    <row r="113" spans="2:3" x14ac:dyDescent="0.3">
      <c r="B113" s="19">
        <f t="shared" si="2"/>
        <v>11.099999999999977</v>
      </c>
      <c r="C113" s="2">
        <v>0</v>
      </c>
    </row>
    <row r="114" spans="2:3" x14ac:dyDescent="0.3">
      <c r="B114" s="19">
        <f t="shared" si="2"/>
        <v>11.199999999999976</v>
      </c>
      <c r="C114" s="2">
        <v>0</v>
      </c>
    </row>
    <row r="115" spans="2:3" x14ac:dyDescent="0.3">
      <c r="B115" s="19">
        <f t="shared" si="2"/>
        <v>11.299999999999976</v>
      </c>
      <c r="C115" s="2">
        <v>0</v>
      </c>
    </row>
    <row r="116" spans="2:3" x14ac:dyDescent="0.3">
      <c r="B116" s="2">
        <f t="shared" si="2"/>
        <v>11.399999999999975</v>
      </c>
      <c r="C116" s="2">
        <v>0</v>
      </c>
    </row>
    <row r="117" spans="2:3" x14ac:dyDescent="0.3">
      <c r="B117" s="2">
        <f t="shared" si="2"/>
        <v>11.499999999999975</v>
      </c>
      <c r="C117" s="2">
        <v>0</v>
      </c>
    </row>
    <row r="118" spans="2:3" x14ac:dyDescent="0.3">
      <c r="B118" s="2">
        <f t="shared" si="2"/>
        <v>11.599999999999975</v>
      </c>
      <c r="C118" s="2">
        <v>0</v>
      </c>
    </row>
    <row r="119" spans="2:3" x14ac:dyDescent="0.3">
      <c r="B119" s="2">
        <f t="shared" si="2"/>
        <v>11.699999999999974</v>
      </c>
      <c r="C119" s="2">
        <v>0</v>
      </c>
    </row>
    <row r="120" spans="2:3" x14ac:dyDescent="0.3">
      <c r="B120" s="2">
        <f t="shared" si="2"/>
        <v>11.799999999999974</v>
      </c>
      <c r="C120" s="2">
        <v>0</v>
      </c>
    </row>
    <row r="121" spans="2:3" x14ac:dyDescent="0.3">
      <c r="B121" s="2">
        <f t="shared" si="2"/>
        <v>11.899999999999974</v>
      </c>
      <c r="C121" s="2">
        <v>0</v>
      </c>
    </row>
    <row r="122" spans="2:3" x14ac:dyDescent="0.3">
      <c r="B122" s="2">
        <f t="shared" si="2"/>
        <v>11.999999999999973</v>
      </c>
      <c r="C122" s="2">
        <v>0</v>
      </c>
    </row>
    <row r="123" spans="2:3" x14ac:dyDescent="0.3">
      <c r="B123" s="2">
        <f t="shared" si="2"/>
        <v>12.099999999999973</v>
      </c>
      <c r="C123" s="2">
        <v>0</v>
      </c>
    </row>
    <row r="124" spans="2:3" x14ac:dyDescent="0.3">
      <c r="B124" s="2">
        <f t="shared" si="2"/>
        <v>12.199999999999973</v>
      </c>
      <c r="C124" s="2">
        <v>0</v>
      </c>
    </row>
    <row r="125" spans="2:3" x14ac:dyDescent="0.3">
      <c r="B125" s="2">
        <f t="shared" si="2"/>
        <v>12.299999999999972</v>
      </c>
      <c r="C125" s="2">
        <v>0</v>
      </c>
    </row>
    <row r="126" spans="2:3" x14ac:dyDescent="0.3">
      <c r="B126" s="2">
        <f t="shared" si="2"/>
        <v>12.399999999999972</v>
      </c>
      <c r="C126" s="2">
        <v>0</v>
      </c>
    </row>
    <row r="127" spans="2:3" x14ac:dyDescent="0.3">
      <c r="B127" s="2">
        <f t="shared" si="2"/>
        <v>12.499999999999972</v>
      </c>
      <c r="C127" s="2">
        <v>0</v>
      </c>
    </row>
    <row r="128" spans="2:3" x14ac:dyDescent="0.3">
      <c r="B128" s="2">
        <f t="shared" si="2"/>
        <v>12.599999999999971</v>
      </c>
      <c r="C128" s="2">
        <v>0</v>
      </c>
    </row>
    <row r="129" spans="2:3" x14ac:dyDescent="0.3">
      <c r="B129" s="2">
        <f t="shared" si="2"/>
        <v>12.699999999999971</v>
      </c>
      <c r="C129" s="2">
        <v>0</v>
      </c>
    </row>
    <row r="130" spans="2:3" x14ac:dyDescent="0.3">
      <c r="B130" s="2">
        <f t="shared" si="2"/>
        <v>12.799999999999971</v>
      </c>
      <c r="C130" s="2">
        <v>0</v>
      </c>
    </row>
    <row r="131" spans="2:3" x14ac:dyDescent="0.3">
      <c r="B131" s="2">
        <f t="shared" si="2"/>
        <v>12.89999999999997</v>
      </c>
      <c r="C131" s="2">
        <v>0</v>
      </c>
    </row>
    <row r="132" spans="2:3" x14ac:dyDescent="0.3">
      <c r="B132" s="2">
        <f t="shared" ref="B132:B195" si="3">B131+0.1</f>
        <v>12.99999999999997</v>
      </c>
      <c r="C132" s="2">
        <v>0</v>
      </c>
    </row>
    <row r="133" spans="2:3" x14ac:dyDescent="0.3">
      <c r="B133" s="2">
        <f t="shared" si="3"/>
        <v>13.099999999999969</v>
      </c>
      <c r="C133" s="2">
        <v>0</v>
      </c>
    </row>
    <row r="134" spans="2:3" x14ac:dyDescent="0.3">
      <c r="B134" s="2">
        <f t="shared" si="3"/>
        <v>13.199999999999969</v>
      </c>
      <c r="C134" s="2">
        <v>0</v>
      </c>
    </row>
    <row r="135" spans="2:3" x14ac:dyDescent="0.3">
      <c r="B135" s="2">
        <f t="shared" si="3"/>
        <v>13.299999999999969</v>
      </c>
      <c r="C135" s="2">
        <v>0</v>
      </c>
    </row>
    <row r="136" spans="2:3" x14ac:dyDescent="0.3">
      <c r="B136" s="2">
        <f t="shared" si="3"/>
        <v>13.399999999999968</v>
      </c>
      <c r="C136" s="2">
        <v>0</v>
      </c>
    </row>
    <row r="137" spans="2:3" x14ac:dyDescent="0.3">
      <c r="B137" s="2">
        <f t="shared" si="3"/>
        <v>13.499999999999968</v>
      </c>
      <c r="C137" s="2">
        <v>0</v>
      </c>
    </row>
    <row r="138" spans="2:3" x14ac:dyDescent="0.3">
      <c r="B138" s="2">
        <f t="shared" si="3"/>
        <v>13.599999999999968</v>
      </c>
      <c r="C138" s="2">
        <v>0</v>
      </c>
    </row>
    <row r="139" spans="2:3" x14ac:dyDescent="0.3">
      <c r="B139" s="2">
        <f t="shared" si="3"/>
        <v>13.699999999999967</v>
      </c>
      <c r="C139" s="2">
        <v>0</v>
      </c>
    </row>
    <row r="140" spans="2:3" x14ac:dyDescent="0.3">
      <c r="B140" s="2">
        <f t="shared" si="3"/>
        <v>13.799999999999967</v>
      </c>
      <c r="C140" s="2">
        <v>0</v>
      </c>
    </row>
    <row r="141" spans="2:3" x14ac:dyDescent="0.3">
      <c r="B141" s="2">
        <f t="shared" si="3"/>
        <v>13.899999999999967</v>
      </c>
      <c r="C141" s="2">
        <v>0</v>
      </c>
    </row>
    <row r="142" spans="2:3" x14ac:dyDescent="0.3">
      <c r="B142" s="2">
        <f t="shared" si="3"/>
        <v>13.999999999999966</v>
      </c>
      <c r="C142" s="2">
        <v>0</v>
      </c>
    </row>
    <row r="143" spans="2:3" x14ac:dyDescent="0.3">
      <c r="B143" s="2">
        <f t="shared" si="3"/>
        <v>14.099999999999966</v>
      </c>
      <c r="C143" s="2">
        <v>0</v>
      </c>
    </row>
    <row r="144" spans="2:3" x14ac:dyDescent="0.3">
      <c r="B144" s="2">
        <f t="shared" si="3"/>
        <v>14.199999999999966</v>
      </c>
      <c r="C144" s="2">
        <v>0</v>
      </c>
    </row>
    <row r="145" spans="2:3" x14ac:dyDescent="0.3">
      <c r="B145" s="2">
        <f t="shared" si="3"/>
        <v>14.299999999999965</v>
      </c>
      <c r="C145" s="2">
        <v>0</v>
      </c>
    </row>
    <row r="146" spans="2:3" x14ac:dyDescent="0.3">
      <c r="B146" s="2">
        <f t="shared" si="3"/>
        <v>14.399999999999965</v>
      </c>
      <c r="C146" s="2">
        <v>0</v>
      </c>
    </row>
    <row r="147" spans="2:3" x14ac:dyDescent="0.3">
      <c r="B147" s="2">
        <f t="shared" si="3"/>
        <v>14.499999999999964</v>
      </c>
      <c r="C147" s="2">
        <v>0</v>
      </c>
    </row>
    <row r="148" spans="2:3" x14ac:dyDescent="0.3">
      <c r="B148" s="2">
        <f t="shared" si="3"/>
        <v>14.599999999999964</v>
      </c>
      <c r="C148" s="2">
        <v>0</v>
      </c>
    </row>
    <row r="149" spans="2:3" x14ac:dyDescent="0.3">
      <c r="B149" s="2">
        <f t="shared" si="3"/>
        <v>14.699999999999964</v>
      </c>
      <c r="C149" s="2">
        <v>0</v>
      </c>
    </row>
    <row r="150" spans="2:3" x14ac:dyDescent="0.3">
      <c r="B150" s="2">
        <f t="shared" si="3"/>
        <v>14.799999999999963</v>
      </c>
      <c r="C150" s="2">
        <v>0</v>
      </c>
    </row>
    <row r="151" spans="2:3" x14ac:dyDescent="0.3">
      <c r="B151" s="2">
        <f t="shared" si="3"/>
        <v>14.899999999999963</v>
      </c>
      <c r="C151" s="2">
        <v>0</v>
      </c>
    </row>
    <row r="152" spans="2:3" x14ac:dyDescent="0.3">
      <c r="B152" s="2">
        <f t="shared" si="3"/>
        <v>14.999999999999963</v>
      </c>
      <c r="C152" s="2">
        <v>0</v>
      </c>
    </row>
    <row r="153" spans="2:3" x14ac:dyDescent="0.3">
      <c r="B153" s="2">
        <f t="shared" si="3"/>
        <v>15.099999999999962</v>
      </c>
      <c r="C153" s="2">
        <v>0</v>
      </c>
    </row>
    <row r="154" spans="2:3" x14ac:dyDescent="0.3">
      <c r="B154" s="2">
        <f t="shared" si="3"/>
        <v>15.199999999999962</v>
      </c>
      <c r="C154" s="2">
        <v>0</v>
      </c>
    </row>
    <row r="155" spans="2:3" x14ac:dyDescent="0.3">
      <c r="B155" s="2">
        <f t="shared" si="3"/>
        <v>15.299999999999962</v>
      </c>
      <c r="C155" s="2">
        <v>0</v>
      </c>
    </row>
    <row r="156" spans="2:3" x14ac:dyDescent="0.3">
      <c r="B156" s="2">
        <f t="shared" si="3"/>
        <v>15.399999999999961</v>
      </c>
      <c r="C156" s="2">
        <v>0</v>
      </c>
    </row>
    <row r="157" spans="2:3" x14ac:dyDescent="0.3">
      <c r="B157" s="2">
        <f t="shared" si="3"/>
        <v>15.499999999999961</v>
      </c>
      <c r="C157" s="2">
        <v>0</v>
      </c>
    </row>
    <row r="158" spans="2:3" x14ac:dyDescent="0.3">
      <c r="B158" s="2">
        <f t="shared" si="3"/>
        <v>15.599999999999961</v>
      </c>
      <c r="C158" s="2">
        <v>0</v>
      </c>
    </row>
    <row r="159" spans="2:3" x14ac:dyDescent="0.3">
      <c r="B159" s="2">
        <f t="shared" si="3"/>
        <v>15.69999999999996</v>
      </c>
      <c r="C159" s="2">
        <v>0</v>
      </c>
    </row>
    <row r="160" spans="2:3" x14ac:dyDescent="0.3">
      <c r="B160" s="2">
        <f t="shared" si="3"/>
        <v>15.79999999999996</v>
      </c>
      <c r="C160" s="2">
        <v>0</v>
      </c>
    </row>
    <row r="161" spans="2:3" x14ac:dyDescent="0.3">
      <c r="B161" s="2">
        <f t="shared" si="3"/>
        <v>15.899999999999959</v>
      </c>
      <c r="C161" s="2">
        <v>0</v>
      </c>
    </row>
    <row r="162" spans="2:3" x14ac:dyDescent="0.3">
      <c r="B162" s="2">
        <f t="shared" si="3"/>
        <v>15.999999999999959</v>
      </c>
      <c r="C162" s="2">
        <v>0</v>
      </c>
    </row>
    <row r="163" spans="2:3" x14ac:dyDescent="0.3">
      <c r="B163" s="2">
        <f t="shared" si="3"/>
        <v>16.099999999999959</v>
      </c>
      <c r="C163" s="2">
        <v>0</v>
      </c>
    </row>
    <row r="164" spans="2:3" x14ac:dyDescent="0.3">
      <c r="B164" s="2">
        <f t="shared" si="3"/>
        <v>16.19999999999996</v>
      </c>
      <c r="C164" s="2">
        <v>0</v>
      </c>
    </row>
    <row r="165" spans="2:3" x14ac:dyDescent="0.3">
      <c r="B165" s="2">
        <f t="shared" si="3"/>
        <v>16.299999999999962</v>
      </c>
      <c r="C165" s="2">
        <v>0</v>
      </c>
    </row>
    <row r="166" spans="2:3" x14ac:dyDescent="0.3">
      <c r="B166" s="2">
        <f t="shared" si="3"/>
        <v>16.399999999999963</v>
      </c>
      <c r="C166" s="2">
        <v>0</v>
      </c>
    </row>
    <row r="167" spans="2:3" x14ac:dyDescent="0.3">
      <c r="B167" s="2">
        <f t="shared" si="3"/>
        <v>16.499999999999964</v>
      </c>
      <c r="C167" s="2">
        <v>0</v>
      </c>
    </row>
    <row r="168" spans="2:3" x14ac:dyDescent="0.3">
      <c r="B168" s="2">
        <f t="shared" si="3"/>
        <v>16.599999999999966</v>
      </c>
      <c r="C168" s="2">
        <v>0</v>
      </c>
    </row>
    <row r="169" spans="2:3" x14ac:dyDescent="0.3">
      <c r="B169" s="2">
        <f t="shared" si="3"/>
        <v>16.699999999999967</v>
      </c>
      <c r="C169" s="2">
        <v>0</v>
      </c>
    </row>
    <row r="170" spans="2:3" x14ac:dyDescent="0.3">
      <c r="B170" s="2">
        <f t="shared" si="3"/>
        <v>16.799999999999969</v>
      </c>
      <c r="C170" s="2">
        <v>0</v>
      </c>
    </row>
    <row r="171" spans="2:3" x14ac:dyDescent="0.3">
      <c r="B171" s="2">
        <f t="shared" si="3"/>
        <v>16.89999999999997</v>
      </c>
      <c r="C171" s="2">
        <v>0</v>
      </c>
    </row>
    <row r="172" spans="2:3" x14ac:dyDescent="0.3">
      <c r="B172" s="2">
        <f t="shared" si="3"/>
        <v>16.999999999999972</v>
      </c>
      <c r="C172" s="2">
        <v>0</v>
      </c>
    </row>
    <row r="173" spans="2:3" x14ac:dyDescent="0.3">
      <c r="B173" s="2">
        <f t="shared" si="3"/>
        <v>17.099999999999973</v>
      </c>
      <c r="C173" s="2">
        <v>0</v>
      </c>
    </row>
    <row r="174" spans="2:3" x14ac:dyDescent="0.3">
      <c r="B174" s="2">
        <f t="shared" si="3"/>
        <v>17.199999999999974</v>
      </c>
      <c r="C174" s="2">
        <v>0</v>
      </c>
    </row>
    <row r="175" spans="2:3" x14ac:dyDescent="0.3">
      <c r="B175" s="2">
        <f t="shared" si="3"/>
        <v>17.299999999999976</v>
      </c>
      <c r="C175" s="2">
        <v>0</v>
      </c>
    </row>
    <row r="176" spans="2:3" x14ac:dyDescent="0.3">
      <c r="B176" s="2">
        <f t="shared" si="3"/>
        <v>17.399999999999977</v>
      </c>
      <c r="C176" s="2">
        <v>0</v>
      </c>
    </row>
    <row r="177" spans="2:3" x14ac:dyDescent="0.3">
      <c r="B177" s="2">
        <f t="shared" si="3"/>
        <v>17.499999999999979</v>
      </c>
      <c r="C177" s="2">
        <v>0</v>
      </c>
    </row>
    <row r="178" spans="2:3" x14ac:dyDescent="0.3">
      <c r="B178" s="2">
        <f t="shared" si="3"/>
        <v>17.59999999999998</v>
      </c>
      <c r="C178" s="2">
        <v>0</v>
      </c>
    </row>
    <row r="179" spans="2:3" x14ac:dyDescent="0.3">
      <c r="B179" s="2">
        <f t="shared" si="3"/>
        <v>17.699999999999982</v>
      </c>
      <c r="C179" s="2">
        <v>0</v>
      </c>
    </row>
    <row r="180" spans="2:3" x14ac:dyDescent="0.3">
      <c r="B180" s="2">
        <f t="shared" si="3"/>
        <v>17.799999999999983</v>
      </c>
      <c r="C180" s="2">
        <v>0</v>
      </c>
    </row>
    <row r="181" spans="2:3" x14ac:dyDescent="0.3">
      <c r="B181" s="2">
        <f t="shared" si="3"/>
        <v>17.899999999999984</v>
      </c>
      <c r="C181" s="2">
        <v>0</v>
      </c>
    </row>
    <row r="182" spans="2:3" x14ac:dyDescent="0.3">
      <c r="B182" s="2">
        <f t="shared" si="3"/>
        <v>17.999999999999986</v>
      </c>
      <c r="C182" s="2">
        <v>0</v>
      </c>
    </row>
    <row r="183" spans="2:3" x14ac:dyDescent="0.3">
      <c r="B183" s="2">
        <f t="shared" si="3"/>
        <v>18.099999999999987</v>
      </c>
      <c r="C183" s="2">
        <v>0</v>
      </c>
    </row>
    <row r="184" spans="2:3" x14ac:dyDescent="0.3">
      <c r="B184" s="2">
        <f t="shared" si="3"/>
        <v>18.199999999999989</v>
      </c>
      <c r="C184" s="2">
        <v>0</v>
      </c>
    </row>
    <row r="185" spans="2:3" x14ac:dyDescent="0.3">
      <c r="B185" s="2">
        <f t="shared" si="3"/>
        <v>18.29999999999999</v>
      </c>
      <c r="C185" s="2">
        <v>0</v>
      </c>
    </row>
    <row r="186" spans="2:3" x14ac:dyDescent="0.3">
      <c r="B186" s="2">
        <f t="shared" si="3"/>
        <v>18.399999999999991</v>
      </c>
      <c r="C186" s="2">
        <v>0</v>
      </c>
    </row>
    <row r="187" spans="2:3" x14ac:dyDescent="0.3">
      <c r="B187" s="2">
        <f t="shared" si="3"/>
        <v>18.499999999999993</v>
      </c>
      <c r="C187" s="2">
        <v>0</v>
      </c>
    </row>
    <row r="188" spans="2:3" x14ac:dyDescent="0.3">
      <c r="B188" s="2">
        <f t="shared" si="3"/>
        <v>18.599999999999994</v>
      </c>
      <c r="C188" s="2">
        <v>0</v>
      </c>
    </row>
    <row r="189" spans="2:3" x14ac:dyDescent="0.3">
      <c r="B189" s="2">
        <f t="shared" si="3"/>
        <v>18.699999999999996</v>
      </c>
      <c r="C189" s="2">
        <v>0</v>
      </c>
    </row>
    <row r="190" spans="2:3" x14ac:dyDescent="0.3">
      <c r="B190" s="2">
        <f t="shared" si="3"/>
        <v>18.799999999999997</v>
      </c>
      <c r="C190" s="2">
        <v>0</v>
      </c>
    </row>
    <row r="191" spans="2:3" x14ac:dyDescent="0.3">
      <c r="B191" s="2">
        <f t="shared" si="3"/>
        <v>18.899999999999999</v>
      </c>
      <c r="C191" s="2">
        <v>0</v>
      </c>
    </row>
    <row r="192" spans="2:3" x14ac:dyDescent="0.3">
      <c r="B192" s="2">
        <f t="shared" si="3"/>
        <v>19</v>
      </c>
      <c r="C192" s="2">
        <v>0</v>
      </c>
    </row>
    <row r="193" spans="2:3" x14ac:dyDescent="0.3">
      <c r="B193" s="2">
        <f t="shared" si="3"/>
        <v>19.100000000000001</v>
      </c>
      <c r="C193" s="2">
        <v>0</v>
      </c>
    </row>
    <row r="194" spans="2:3" x14ac:dyDescent="0.3">
      <c r="B194" s="2">
        <f t="shared" si="3"/>
        <v>19.200000000000003</v>
      </c>
      <c r="C194" s="2">
        <v>0</v>
      </c>
    </row>
    <row r="195" spans="2:3" x14ac:dyDescent="0.3">
      <c r="B195" s="2">
        <f t="shared" si="3"/>
        <v>19.300000000000004</v>
      </c>
      <c r="C195" s="2">
        <v>0</v>
      </c>
    </row>
    <row r="196" spans="2:3" x14ac:dyDescent="0.3">
      <c r="B196" s="2">
        <f t="shared" ref="B196:B259" si="4">B195+0.1</f>
        <v>19.400000000000006</v>
      </c>
      <c r="C196" s="2">
        <v>0</v>
      </c>
    </row>
    <row r="197" spans="2:3" x14ac:dyDescent="0.3">
      <c r="B197" s="2">
        <f t="shared" si="4"/>
        <v>19.500000000000007</v>
      </c>
      <c r="C197" s="2">
        <v>0</v>
      </c>
    </row>
    <row r="198" spans="2:3" x14ac:dyDescent="0.3">
      <c r="B198" s="2">
        <f t="shared" si="4"/>
        <v>19.600000000000009</v>
      </c>
      <c r="C198" s="2">
        <v>0</v>
      </c>
    </row>
    <row r="199" spans="2:3" x14ac:dyDescent="0.3">
      <c r="B199" s="2">
        <f t="shared" si="4"/>
        <v>19.70000000000001</v>
      </c>
      <c r="C199" s="2">
        <v>0</v>
      </c>
    </row>
    <row r="200" spans="2:3" x14ac:dyDescent="0.3">
      <c r="B200" s="2">
        <f t="shared" si="4"/>
        <v>19.800000000000011</v>
      </c>
      <c r="C200" s="2">
        <v>0</v>
      </c>
    </row>
    <row r="201" spans="2:3" x14ac:dyDescent="0.3">
      <c r="B201" s="2">
        <f t="shared" si="4"/>
        <v>19.900000000000013</v>
      </c>
      <c r="C201" s="2">
        <v>0</v>
      </c>
    </row>
    <row r="202" spans="2:3" x14ac:dyDescent="0.3">
      <c r="B202" s="2">
        <f t="shared" si="4"/>
        <v>20.000000000000014</v>
      </c>
      <c r="C202" s="2">
        <v>0</v>
      </c>
    </row>
    <row r="203" spans="2:3" x14ac:dyDescent="0.3">
      <c r="B203" s="2">
        <f t="shared" si="4"/>
        <v>20.100000000000016</v>
      </c>
      <c r="C203" s="2">
        <v>0</v>
      </c>
    </row>
    <row r="204" spans="2:3" x14ac:dyDescent="0.3">
      <c r="B204" s="2">
        <f t="shared" si="4"/>
        <v>20.200000000000017</v>
      </c>
      <c r="C204" s="2">
        <v>0</v>
      </c>
    </row>
    <row r="205" spans="2:3" x14ac:dyDescent="0.3">
      <c r="B205" s="2">
        <f t="shared" si="4"/>
        <v>20.300000000000018</v>
      </c>
      <c r="C205" s="2">
        <v>0</v>
      </c>
    </row>
    <row r="206" spans="2:3" x14ac:dyDescent="0.3">
      <c r="B206" s="2">
        <f t="shared" si="4"/>
        <v>20.40000000000002</v>
      </c>
      <c r="C206" s="2">
        <v>0</v>
      </c>
    </row>
    <row r="207" spans="2:3" x14ac:dyDescent="0.3">
      <c r="B207" s="2">
        <f t="shared" si="4"/>
        <v>20.500000000000021</v>
      </c>
      <c r="C207" s="2">
        <v>0</v>
      </c>
    </row>
    <row r="208" spans="2:3" x14ac:dyDescent="0.3">
      <c r="B208" s="2">
        <f t="shared" si="4"/>
        <v>20.600000000000023</v>
      </c>
      <c r="C208" s="2">
        <v>0</v>
      </c>
    </row>
    <row r="209" spans="2:3" x14ac:dyDescent="0.3">
      <c r="B209" s="2">
        <f t="shared" si="4"/>
        <v>20.700000000000024</v>
      </c>
      <c r="C209" s="2">
        <v>0</v>
      </c>
    </row>
    <row r="210" spans="2:3" x14ac:dyDescent="0.3">
      <c r="B210" s="2">
        <f t="shared" si="4"/>
        <v>20.800000000000026</v>
      </c>
      <c r="C210" s="2">
        <v>0</v>
      </c>
    </row>
    <row r="211" spans="2:3" x14ac:dyDescent="0.3">
      <c r="B211" s="2">
        <f t="shared" si="4"/>
        <v>20.900000000000027</v>
      </c>
      <c r="C211" s="2">
        <v>0</v>
      </c>
    </row>
    <row r="212" spans="2:3" x14ac:dyDescent="0.3">
      <c r="B212" s="2">
        <f t="shared" si="4"/>
        <v>21.000000000000028</v>
      </c>
      <c r="C212" s="2">
        <v>0</v>
      </c>
    </row>
    <row r="213" spans="2:3" x14ac:dyDescent="0.3">
      <c r="B213" s="2">
        <f t="shared" si="4"/>
        <v>21.10000000000003</v>
      </c>
      <c r="C213" s="2">
        <v>0</v>
      </c>
    </row>
    <row r="214" spans="2:3" x14ac:dyDescent="0.3">
      <c r="B214" s="2">
        <f t="shared" si="4"/>
        <v>21.200000000000031</v>
      </c>
      <c r="C214" s="2">
        <v>0</v>
      </c>
    </row>
    <row r="215" spans="2:3" x14ac:dyDescent="0.3">
      <c r="B215" s="2">
        <f t="shared" si="4"/>
        <v>21.300000000000033</v>
      </c>
      <c r="C215" s="2">
        <v>0</v>
      </c>
    </row>
    <row r="216" spans="2:3" x14ac:dyDescent="0.3">
      <c r="B216" s="2">
        <f t="shared" si="4"/>
        <v>21.400000000000034</v>
      </c>
      <c r="C216" s="2">
        <v>0</v>
      </c>
    </row>
    <row r="217" spans="2:3" x14ac:dyDescent="0.3">
      <c r="B217" s="2">
        <f t="shared" si="4"/>
        <v>21.500000000000036</v>
      </c>
      <c r="C217" s="2">
        <v>0</v>
      </c>
    </row>
    <row r="218" spans="2:3" x14ac:dyDescent="0.3">
      <c r="B218" s="2">
        <f t="shared" si="4"/>
        <v>21.600000000000037</v>
      </c>
      <c r="C218" s="2">
        <v>0</v>
      </c>
    </row>
    <row r="219" spans="2:3" x14ac:dyDescent="0.3">
      <c r="B219" s="2">
        <f t="shared" si="4"/>
        <v>21.700000000000038</v>
      </c>
      <c r="C219" s="2">
        <v>0</v>
      </c>
    </row>
    <row r="220" spans="2:3" x14ac:dyDescent="0.3">
      <c r="B220" s="2">
        <f t="shared" si="4"/>
        <v>21.80000000000004</v>
      </c>
      <c r="C220" s="2">
        <v>0</v>
      </c>
    </row>
    <row r="221" spans="2:3" x14ac:dyDescent="0.3">
      <c r="B221" s="2">
        <f t="shared" si="4"/>
        <v>21.900000000000041</v>
      </c>
      <c r="C221" s="2">
        <v>0</v>
      </c>
    </row>
    <row r="222" spans="2:3" x14ac:dyDescent="0.3">
      <c r="B222" s="2">
        <f t="shared" si="4"/>
        <v>22.000000000000043</v>
      </c>
      <c r="C222" s="2">
        <v>0</v>
      </c>
    </row>
    <row r="223" spans="2:3" x14ac:dyDescent="0.3">
      <c r="B223" s="2">
        <f t="shared" si="4"/>
        <v>22.100000000000044</v>
      </c>
      <c r="C223" s="2">
        <v>0</v>
      </c>
    </row>
    <row r="224" spans="2:3" x14ac:dyDescent="0.3">
      <c r="B224" s="2">
        <f t="shared" si="4"/>
        <v>22.200000000000045</v>
      </c>
      <c r="C224" s="2">
        <v>0</v>
      </c>
    </row>
    <row r="225" spans="2:3" x14ac:dyDescent="0.3">
      <c r="B225" s="2">
        <f t="shared" si="4"/>
        <v>22.300000000000047</v>
      </c>
      <c r="C225" s="2">
        <v>0</v>
      </c>
    </row>
    <row r="226" spans="2:3" x14ac:dyDescent="0.3">
      <c r="B226" s="2">
        <f t="shared" si="4"/>
        <v>22.400000000000048</v>
      </c>
      <c r="C226" s="2">
        <v>0</v>
      </c>
    </row>
    <row r="227" spans="2:3" x14ac:dyDescent="0.3">
      <c r="B227" s="2">
        <f t="shared" si="4"/>
        <v>22.50000000000005</v>
      </c>
      <c r="C227" s="2">
        <v>0</v>
      </c>
    </row>
    <row r="228" spans="2:3" x14ac:dyDescent="0.3">
      <c r="B228" s="2">
        <f t="shared" si="4"/>
        <v>22.600000000000051</v>
      </c>
      <c r="C228" s="2">
        <v>0</v>
      </c>
    </row>
    <row r="229" spans="2:3" x14ac:dyDescent="0.3">
      <c r="B229" s="2">
        <f t="shared" si="4"/>
        <v>22.700000000000053</v>
      </c>
      <c r="C229" s="2">
        <v>0</v>
      </c>
    </row>
    <row r="230" spans="2:3" x14ac:dyDescent="0.3">
      <c r="B230" s="2">
        <f t="shared" si="4"/>
        <v>22.800000000000054</v>
      </c>
      <c r="C230" s="2">
        <v>0</v>
      </c>
    </row>
    <row r="231" spans="2:3" x14ac:dyDescent="0.3">
      <c r="B231" s="2">
        <f t="shared" si="4"/>
        <v>22.900000000000055</v>
      </c>
      <c r="C231" s="2">
        <v>0</v>
      </c>
    </row>
    <row r="232" spans="2:3" x14ac:dyDescent="0.3">
      <c r="B232" s="2">
        <f t="shared" si="4"/>
        <v>23.000000000000057</v>
      </c>
      <c r="C232" s="2">
        <v>0</v>
      </c>
    </row>
    <row r="233" spans="2:3" x14ac:dyDescent="0.3">
      <c r="B233" s="2">
        <f t="shared" si="4"/>
        <v>23.100000000000058</v>
      </c>
      <c r="C233" s="2">
        <v>0</v>
      </c>
    </row>
    <row r="234" spans="2:3" x14ac:dyDescent="0.3">
      <c r="B234" s="2">
        <f t="shared" si="4"/>
        <v>23.20000000000006</v>
      </c>
      <c r="C234" s="2">
        <v>0</v>
      </c>
    </row>
    <row r="235" spans="2:3" x14ac:dyDescent="0.3">
      <c r="B235" s="2">
        <f t="shared" si="4"/>
        <v>23.300000000000061</v>
      </c>
      <c r="C235" s="2">
        <v>0</v>
      </c>
    </row>
    <row r="236" spans="2:3" x14ac:dyDescent="0.3">
      <c r="B236" s="2">
        <f t="shared" si="4"/>
        <v>23.400000000000063</v>
      </c>
      <c r="C236" s="2">
        <v>0</v>
      </c>
    </row>
    <row r="237" spans="2:3" x14ac:dyDescent="0.3">
      <c r="B237" s="2">
        <f t="shared" si="4"/>
        <v>23.500000000000064</v>
      </c>
      <c r="C237" s="2">
        <v>0</v>
      </c>
    </row>
    <row r="238" spans="2:3" x14ac:dyDescent="0.3">
      <c r="B238" s="2">
        <f t="shared" si="4"/>
        <v>23.600000000000065</v>
      </c>
      <c r="C238" s="2">
        <v>0</v>
      </c>
    </row>
    <row r="239" spans="2:3" x14ac:dyDescent="0.3">
      <c r="B239" s="2">
        <f t="shared" si="4"/>
        <v>23.700000000000067</v>
      </c>
      <c r="C239" s="2">
        <v>0</v>
      </c>
    </row>
    <row r="240" spans="2:3" x14ac:dyDescent="0.3">
      <c r="B240" s="2">
        <f t="shared" si="4"/>
        <v>23.800000000000068</v>
      </c>
      <c r="C240" s="2">
        <v>0</v>
      </c>
    </row>
    <row r="241" spans="2:3" x14ac:dyDescent="0.3">
      <c r="B241" s="2">
        <f t="shared" si="4"/>
        <v>23.90000000000007</v>
      </c>
      <c r="C241" s="2">
        <v>0</v>
      </c>
    </row>
    <row r="242" spans="2:3" x14ac:dyDescent="0.3">
      <c r="B242" s="2">
        <f t="shared" si="4"/>
        <v>24.000000000000071</v>
      </c>
      <c r="C242" s="2">
        <v>0</v>
      </c>
    </row>
    <row r="243" spans="2:3" x14ac:dyDescent="0.3">
      <c r="B243" s="2">
        <f t="shared" si="4"/>
        <v>24.100000000000072</v>
      </c>
      <c r="C243" s="2">
        <v>0</v>
      </c>
    </row>
    <row r="244" spans="2:3" x14ac:dyDescent="0.3">
      <c r="B244" s="2">
        <f t="shared" si="4"/>
        <v>24.200000000000074</v>
      </c>
      <c r="C244" s="2">
        <v>0</v>
      </c>
    </row>
    <row r="245" spans="2:3" x14ac:dyDescent="0.3">
      <c r="B245" s="2">
        <f t="shared" si="4"/>
        <v>24.300000000000075</v>
      </c>
      <c r="C245" s="2">
        <v>0</v>
      </c>
    </row>
    <row r="246" spans="2:3" x14ac:dyDescent="0.3">
      <c r="B246" s="2">
        <f t="shared" si="4"/>
        <v>24.400000000000077</v>
      </c>
      <c r="C246" s="2">
        <v>0</v>
      </c>
    </row>
    <row r="247" spans="2:3" x14ac:dyDescent="0.3">
      <c r="B247" s="2">
        <f t="shared" si="4"/>
        <v>24.500000000000078</v>
      </c>
      <c r="C247" s="2">
        <v>0</v>
      </c>
    </row>
    <row r="248" spans="2:3" x14ac:dyDescent="0.3">
      <c r="B248" s="2">
        <f t="shared" si="4"/>
        <v>24.60000000000008</v>
      </c>
      <c r="C248" s="2">
        <v>0</v>
      </c>
    </row>
    <row r="249" spans="2:3" x14ac:dyDescent="0.3">
      <c r="B249" s="2">
        <f t="shared" si="4"/>
        <v>24.700000000000081</v>
      </c>
      <c r="C249" s="2">
        <v>0</v>
      </c>
    </row>
    <row r="250" spans="2:3" x14ac:dyDescent="0.3">
      <c r="B250" s="2">
        <f t="shared" si="4"/>
        <v>24.800000000000082</v>
      </c>
      <c r="C250" s="2">
        <v>0</v>
      </c>
    </row>
    <row r="251" spans="2:3" x14ac:dyDescent="0.3">
      <c r="B251" s="2">
        <f t="shared" si="4"/>
        <v>24.900000000000084</v>
      </c>
      <c r="C251" s="2">
        <v>0</v>
      </c>
    </row>
    <row r="252" spans="2:3" x14ac:dyDescent="0.3">
      <c r="B252" s="2">
        <f t="shared" si="4"/>
        <v>25.000000000000085</v>
      </c>
      <c r="C252" s="2">
        <v>0</v>
      </c>
    </row>
    <row r="253" spans="2:3" x14ac:dyDescent="0.3">
      <c r="B253" s="2">
        <f t="shared" si="4"/>
        <v>25.100000000000087</v>
      </c>
      <c r="C253" s="2">
        <v>0</v>
      </c>
    </row>
    <row r="254" spans="2:3" x14ac:dyDescent="0.3">
      <c r="B254" s="2">
        <f t="shared" si="4"/>
        <v>25.200000000000088</v>
      </c>
      <c r="C254" s="2">
        <v>0</v>
      </c>
    </row>
    <row r="255" spans="2:3" x14ac:dyDescent="0.3">
      <c r="B255" s="2">
        <f t="shared" si="4"/>
        <v>25.30000000000009</v>
      </c>
      <c r="C255" s="2">
        <v>0</v>
      </c>
    </row>
    <row r="256" spans="2:3" x14ac:dyDescent="0.3">
      <c r="B256" s="2">
        <f t="shared" si="4"/>
        <v>25.400000000000091</v>
      </c>
      <c r="C256" s="2">
        <v>0</v>
      </c>
    </row>
    <row r="257" spans="2:3" x14ac:dyDescent="0.3">
      <c r="B257" s="2">
        <f t="shared" si="4"/>
        <v>25.500000000000092</v>
      </c>
      <c r="C257" s="2">
        <v>0</v>
      </c>
    </row>
    <row r="258" spans="2:3" x14ac:dyDescent="0.3">
      <c r="B258" s="2">
        <f t="shared" si="4"/>
        <v>25.600000000000094</v>
      </c>
      <c r="C258" s="2">
        <v>0</v>
      </c>
    </row>
    <row r="259" spans="2:3" x14ac:dyDescent="0.3">
      <c r="B259" s="2">
        <f t="shared" si="4"/>
        <v>25.700000000000095</v>
      </c>
      <c r="C259" s="2">
        <v>0</v>
      </c>
    </row>
    <row r="260" spans="2:3" x14ac:dyDescent="0.3">
      <c r="B260" s="2">
        <f t="shared" ref="B260:B323" si="5">B259+0.1</f>
        <v>25.800000000000097</v>
      </c>
      <c r="C260" s="2">
        <v>0</v>
      </c>
    </row>
    <row r="261" spans="2:3" x14ac:dyDescent="0.3">
      <c r="B261" s="2">
        <f t="shared" si="5"/>
        <v>25.900000000000098</v>
      </c>
      <c r="C261" s="2">
        <v>0</v>
      </c>
    </row>
    <row r="262" spans="2:3" x14ac:dyDescent="0.3">
      <c r="B262" s="2">
        <f t="shared" si="5"/>
        <v>26.000000000000099</v>
      </c>
      <c r="C262" s="2">
        <v>0</v>
      </c>
    </row>
    <row r="263" spans="2:3" x14ac:dyDescent="0.3">
      <c r="B263" s="2">
        <f t="shared" si="5"/>
        <v>26.100000000000101</v>
      </c>
      <c r="C263" s="2">
        <v>0</v>
      </c>
    </row>
    <row r="264" spans="2:3" x14ac:dyDescent="0.3">
      <c r="B264" s="2">
        <f t="shared" si="5"/>
        <v>26.200000000000102</v>
      </c>
      <c r="C264" s="2">
        <v>0</v>
      </c>
    </row>
    <row r="265" spans="2:3" x14ac:dyDescent="0.3">
      <c r="B265" s="2">
        <f t="shared" si="5"/>
        <v>26.300000000000104</v>
      </c>
      <c r="C265" s="2">
        <v>0</v>
      </c>
    </row>
    <row r="266" spans="2:3" x14ac:dyDescent="0.3">
      <c r="B266" s="2">
        <f t="shared" si="5"/>
        <v>26.400000000000105</v>
      </c>
      <c r="C266" s="2">
        <v>0</v>
      </c>
    </row>
    <row r="267" spans="2:3" x14ac:dyDescent="0.3">
      <c r="B267" s="2">
        <f t="shared" si="5"/>
        <v>26.500000000000107</v>
      </c>
      <c r="C267" s="2">
        <v>0</v>
      </c>
    </row>
    <row r="268" spans="2:3" x14ac:dyDescent="0.3">
      <c r="B268" s="2">
        <f t="shared" si="5"/>
        <v>26.600000000000108</v>
      </c>
      <c r="C268" s="2">
        <v>0</v>
      </c>
    </row>
    <row r="269" spans="2:3" x14ac:dyDescent="0.3">
      <c r="B269" s="2">
        <f t="shared" si="5"/>
        <v>26.700000000000109</v>
      </c>
      <c r="C269" s="2">
        <v>0</v>
      </c>
    </row>
    <row r="270" spans="2:3" x14ac:dyDescent="0.3">
      <c r="B270" s="2">
        <f t="shared" si="5"/>
        <v>26.800000000000111</v>
      </c>
      <c r="C270" s="2">
        <v>0</v>
      </c>
    </row>
    <row r="271" spans="2:3" x14ac:dyDescent="0.3">
      <c r="B271" s="2">
        <f t="shared" si="5"/>
        <v>26.900000000000112</v>
      </c>
      <c r="C271" s="2">
        <v>0</v>
      </c>
    </row>
    <row r="272" spans="2:3" x14ac:dyDescent="0.3">
      <c r="B272" s="2">
        <f t="shared" si="5"/>
        <v>27.000000000000114</v>
      </c>
      <c r="C272" s="2">
        <v>0</v>
      </c>
    </row>
    <row r="273" spans="2:3" x14ac:dyDescent="0.3">
      <c r="B273" s="2">
        <f t="shared" si="5"/>
        <v>27.100000000000115</v>
      </c>
      <c r="C273" s="2">
        <v>0</v>
      </c>
    </row>
    <row r="274" spans="2:3" x14ac:dyDescent="0.3">
      <c r="B274" s="2">
        <f t="shared" si="5"/>
        <v>27.200000000000117</v>
      </c>
      <c r="C274" s="2">
        <v>0</v>
      </c>
    </row>
    <row r="275" spans="2:3" x14ac:dyDescent="0.3">
      <c r="B275" s="2">
        <f t="shared" si="5"/>
        <v>27.300000000000118</v>
      </c>
      <c r="C275" s="2">
        <v>0</v>
      </c>
    </row>
    <row r="276" spans="2:3" x14ac:dyDescent="0.3">
      <c r="B276" s="2">
        <f t="shared" si="5"/>
        <v>27.400000000000119</v>
      </c>
      <c r="C276" s="2">
        <v>0</v>
      </c>
    </row>
    <row r="277" spans="2:3" x14ac:dyDescent="0.3">
      <c r="B277" s="2">
        <f t="shared" si="5"/>
        <v>27.500000000000121</v>
      </c>
      <c r="C277" s="2">
        <v>0</v>
      </c>
    </row>
    <row r="278" spans="2:3" x14ac:dyDescent="0.3">
      <c r="B278" s="2">
        <f t="shared" si="5"/>
        <v>27.600000000000122</v>
      </c>
      <c r="C278" s="2">
        <v>0</v>
      </c>
    </row>
    <row r="279" spans="2:3" x14ac:dyDescent="0.3">
      <c r="B279" s="2">
        <f t="shared" si="5"/>
        <v>27.700000000000124</v>
      </c>
      <c r="C279" s="2">
        <v>0</v>
      </c>
    </row>
    <row r="280" spans="2:3" x14ac:dyDescent="0.3">
      <c r="B280" s="2">
        <f t="shared" si="5"/>
        <v>27.800000000000125</v>
      </c>
      <c r="C280" s="2">
        <v>0</v>
      </c>
    </row>
    <row r="281" spans="2:3" x14ac:dyDescent="0.3">
      <c r="B281" s="2">
        <f t="shared" si="5"/>
        <v>27.900000000000126</v>
      </c>
      <c r="C281" s="2">
        <v>0</v>
      </c>
    </row>
    <row r="282" spans="2:3" x14ac:dyDescent="0.3">
      <c r="B282" s="2">
        <f t="shared" si="5"/>
        <v>28.000000000000128</v>
      </c>
      <c r="C282" s="2">
        <v>0</v>
      </c>
    </row>
    <row r="283" spans="2:3" x14ac:dyDescent="0.3">
      <c r="B283" s="2">
        <f t="shared" si="5"/>
        <v>28.100000000000129</v>
      </c>
      <c r="C283" s="2">
        <v>0</v>
      </c>
    </row>
    <row r="284" spans="2:3" x14ac:dyDescent="0.3">
      <c r="B284" s="2">
        <f t="shared" si="5"/>
        <v>28.200000000000131</v>
      </c>
      <c r="C284" s="2">
        <v>0</v>
      </c>
    </row>
    <row r="285" spans="2:3" x14ac:dyDescent="0.3">
      <c r="B285" s="2">
        <f t="shared" si="5"/>
        <v>28.300000000000132</v>
      </c>
      <c r="C285" s="2">
        <v>0</v>
      </c>
    </row>
    <row r="286" spans="2:3" x14ac:dyDescent="0.3">
      <c r="B286" s="2">
        <f t="shared" si="5"/>
        <v>28.400000000000134</v>
      </c>
      <c r="C286" s="2">
        <v>0</v>
      </c>
    </row>
    <row r="287" spans="2:3" x14ac:dyDescent="0.3">
      <c r="B287" s="2">
        <f t="shared" si="5"/>
        <v>28.500000000000135</v>
      </c>
      <c r="C287" s="2">
        <v>0</v>
      </c>
    </row>
    <row r="288" spans="2:3" x14ac:dyDescent="0.3">
      <c r="B288" s="2">
        <f t="shared" si="5"/>
        <v>28.600000000000136</v>
      </c>
      <c r="C288" s="2">
        <v>0</v>
      </c>
    </row>
    <row r="289" spans="2:3" x14ac:dyDescent="0.3">
      <c r="B289" s="2">
        <f t="shared" si="5"/>
        <v>28.700000000000138</v>
      </c>
      <c r="C289" s="2">
        <v>0</v>
      </c>
    </row>
    <row r="290" spans="2:3" x14ac:dyDescent="0.3">
      <c r="B290" s="2">
        <f t="shared" si="5"/>
        <v>28.800000000000139</v>
      </c>
      <c r="C290" s="2">
        <v>0</v>
      </c>
    </row>
    <row r="291" spans="2:3" x14ac:dyDescent="0.3">
      <c r="B291" s="2">
        <f t="shared" si="5"/>
        <v>28.900000000000141</v>
      </c>
      <c r="C291" s="2">
        <v>0</v>
      </c>
    </row>
    <row r="292" spans="2:3" x14ac:dyDescent="0.3">
      <c r="B292" s="2">
        <f t="shared" si="5"/>
        <v>29.000000000000142</v>
      </c>
      <c r="C292" s="2">
        <v>0</v>
      </c>
    </row>
    <row r="293" spans="2:3" x14ac:dyDescent="0.3">
      <c r="B293" s="2">
        <f t="shared" si="5"/>
        <v>29.100000000000144</v>
      </c>
      <c r="C293" s="2">
        <v>0</v>
      </c>
    </row>
    <row r="294" spans="2:3" x14ac:dyDescent="0.3">
      <c r="B294" s="2">
        <f t="shared" si="5"/>
        <v>29.200000000000145</v>
      </c>
      <c r="C294" s="2">
        <v>0</v>
      </c>
    </row>
    <row r="295" spans="2:3" x14ac:dyDescent="0.3">
      <c r="B295" s="2">
        <f t="shared" si="5"/>
        <v>29.300000000000146</v>
      </c>
      <c r="C295" s="2">
        <v>0</v>
      </c>
    </row>
    <row r="296" spans="2:3" x14ac:dyDescent="0.3">
      <c r="B296" s="2">
        <f t="shared" si="5"/>
        <v>29.400000000000148</v>
      </c>
      <c r="C296" s="2">
        <v>0</v>
      </c>
    </row>
    <row r="297" spans="2:3" x14ac:dyDescent="0.3">
      <c r="B297" s="2">
        <f t="shared" si="5"/>
        <v>29.500000000000149</v>
      </c>
      <c r="C297" s="2">
        <v>0</v>
      </c>
    </row>
    <row r="298" spans="2:3" x14ac:dyDescent="0.3">
      <c r="B298" s="2">
        <f t="shared" si="5"/>
        <v>29.600000000000151</v>
      </c>
      <c r="C298" s="2">
        <v>0</v>
      </c>
    </row>
    <row r="299" spans="2:3" x14ac:dyDescent="0.3">
      <c r="B299" s="2">
        <f t="shared" si="5"/>
        <v>29.700000000000152</v>
      </c>
      <c r="C299" s="2">
        <v>0</v>
      </c>
    </row>
    <row r="300" spans="2:3" x14ac:dyDescent="0.3">
      <c r="B300" s="2">
        <f t="shared" si="5"/>
        <v>29.800000000000153</v>
      </c>
      <c r="C300" s="2">
        <v>0</v>
      </c>
    </row>
    <row r="301" spans="2:3" x14ac:dyDescent="0.3">
      <c r="B301" s="2">
        <f t="shared" si="5"/>
        <v>29.900000000000155</v>
      </c>
      <c r="C301" s="2">
        <v>0</v>
      </c>
    </row>
    <row r="302" spans="2:3" x14ac:dyDescent="0.3">
      <c r="B302" s="2">
        <f t="shared" si="5"/>
        <v>30.000000000000156</v>
      </c>
      <c r="C302" s="2">
        <v>0</v>
      </c>
    </row>
    <row r="303" spans="2:3" x14ac:dyDescent="0.3">
      <c r="B303" s="2">
        <f t="shared" si="5"/>
        <v>30.100000000000158</v>
      </c>
      <c r="C303" s="2">
        <v>0</v>
      </c>
    </row>
    <row r="304" spans="2:3" x14ac:dyDescent="0.3">
      <c r="B304" s="2">
        <f t="shared" si="5"/>
        <v>30.200000000000159</v>
      </c>
      <c r="C304" s="2">
        <v>0</v>
      </c>
    </row>
    <row r="305" spans="2:3" x14ac:dyDescent="0.3">
      <c r="B305" s="2">
        <f t="shared" si="5"/>
        <v>30.300000000000161</v>
      </c>
      <c r="C305" s="2">
        <v>0</v>
      </c>
    </row>
    <row r="306" spans="2:3" x14ac:dyDescent="0.3">
      <c r="B306" s="2">
        <f t="shared" si="5"/>
        <v>30.400000000000162</v>
      </c>
      <c r="C306" s="2">
        <v>0</v>
      </c>
    </row>
    <row r="307" spans="2:3" x14ac:dyDescent="0.3">
      <c r="B307" s="2">
        <f t="shared" si="5"/>
        <v>30.500000000000163</v>
      </c>
      <c r="C307" s="2">
        <v>0</v>
      </c>
    </row>
    <row r="308" spans="2:3" x14ac:dyDescent="0.3">
      <c r="B308" s="2">
        <f t="shared" si="5"/>
        <v>30.600000000000165</v>
      </c>
      <c r="C308" s="2">
        <v>0</v>
      </c>
    </row>
    <row r="309" spans="2:3" x14ac:dyDescent="0.3">
      <c r="B309" s="2">
        <f t="shared" si="5"/>
        <v>30.700000000000166</v>
      </c>
      <c r="C309" s="2">
        <v>0</v>
      </c>
    </row>
    <row r="310" spans="2:3" x14ac:dyDescent="0.3">
      <c r="B310" s="2">
        <f t="shared" si="5"/>
        <v>30.800000000000168</v>
      </c>
      <c r="C310" s="2">
        <v>0</v>
      </c>
    </row>
    <row r="311" spans="2:3" x14ac:dyDescent="0.3">
      <c r="B311" s="2">
        <f t="shared" si="5"/>
        <v>30.900000000000169</v>
      </c>
      <c r="C311" s="2">
        <v>0</v>
      </c>
    </row>
    <row r="312" spans="2:3" x14ac:dyDescent="0.3">
      <c r="B312" s="2">
        <f t="shared" si="5"/>
        <v>31.000000000000171</v>
      </c>
      <c r="C312" s="2">
        <v>0</v>
      </c>
    </row>
    <row r="313" spans="2:3" x14ac:dyDescent="0.3">
      <c r="B313" s="2">
        <f t="shared" si="5"/>
        <v>31.100000000000172</v>
      </c>
      <c r="C313" s="2">
        <v>0</v>
      </c>
    </row>
    <row r="314" spans="2:3" x14ac:dyDescent="0.3">
      <c r="B314" s="2">
        <f t="shared" si="5"/>
        <v>31.200000000000173</v>
      </c>
      <c r="C314" s="2">
        <v>0</v>
      </c>
    </row>
    <row r="315" spans="2:3" x14ac:dyDescent="0.3">
      <c r="B315" s="2">
        <f t="shared" si="5"/>
        <v>31.300000000000175</v>
      </c>
      <c r="C315" s="2">
        <v>0</v>
      </c>
    </row>
    <row r="316" spans="2:3" x14ac:dyDescent="0.3">
      <c r="B316" s="2">
        <f t="shared" si="5"/>
        <v>31.400000000000176</v>
      </c>
      <c r="C316" s="2">
        <v>0</v>
      </c>
    </row>
    <row r="317" spans="2:3" x14ac:dyDescent="0.3">
      <c r="B317" s="2">
        <f t="shared" si="5"/>
        <v>31.500000000000178</v>
      </c>
      <c r="C317" s="2">
        <v>0</v>
      </c>
    </row>
    <row r="318" spans="2:3" x14ac:dyDescent="0.3">
      <c r="B318" s="2">
        <f t="shared" si="5"/>
        <v>31.600000000000179</v>
      </c>
      <c r="C318" s="2">
        <v>0</v>
      </c>
    </row>
    <row r="319" spans="2:3" x14ac:dyDescent="0.3">
      <c r="B319" s="2">
        <f t="shared" si="5"/>
        <v>31.70000000000018</v>
      </c>
      <c r="C319" s="2">
        <v>0</v>
      </c>
    </row>
    <row r="320" spans="2:3" x14ac:dyDescent="0.3">
      <c r="B320" s="2">
        <f t="shared" si="5"/>
        <v>31.800000000000182</v>
      </c>
      <c r="C320" s="2">
        <v>0</v>
      </c>
    </row>
    <row r="321" spans="2:3" x14ac:dyDescent="0.3">
      <c r="B321" s="2">
        <f t="shared" si="5"/>
        <v>31.900000000000183</v>
      </c>
      <c r="C321" s="2">
        <v>0</v>
      </c>
    </row>
    <row r="322" spans="2:3" x14ac:dyDescent="0.3">
      <c r="B322" s="2">
        <f t="shared" si="5"/>
        <v>32.000000000000185</v>
      </c>
      <c r="C322" s="2">
        <v>0</v>
      </c>
    </row>
    <row r="323" spans="2:3" x14ac:dyDescent="0.3">
      <c r="B323" s="2">
        <f t="shared" si="5"/>
        <v>32.100000000000186</v>
      </c>
      <c r="C323" s="2">
        <v>0</v>
      </c>
    </row>
    <row r="324" spans="2:3" x14ac:dyDescent="0.3">
      <c r="B324" s="2">
        <f t="shared" ref="B324:B387" si="6">B323+0.1</f>
        <v>32.200000000000188</v>
      </c>
      <c r="C324" s="2">
        <v>0</v>
      </c>
    </row>
    <row r="325" spans="2:3" x14ac:dyDescent="0.3">
      <c r="B325" s="2">
        <f t="shared" si="6"/>
        <v>32.300000000000189</v>
      </c>
      <c r="C325" s="2">
        <v>0</v>
      </c>
    </row>
    <row r="326" spans="2:3" x14ac:dyDescent="0.3">
      <c r="B326" s="2">
        <f t="shared" si="6"/>
        <v>32.40000000000019</v>
      </c>
      <c r="C326" s="2">
        <v>0</v>
      </c>
    </row>
    <row r="327" spans="2:3" x14ac:dyDescent="0.3">
      <c r="B327" s="2">
        <f t="shared" si="6"/>
        <v>32.500000000000192</v>
      </c>
      <c r="C327" s="2">
        <v>0</v>
      </c>
    </row>
    <row r="328" spans="2:3" x14ac:dyDescent="0.3">
      <c r="B328" s="2">
        <f t="shared" si="6"/>
        <v>32.600000000000193</v>
      </c>
      <c r="C328" s="2">
        <v>0</v>
      </c>
    </row>
    <row r="329" spans="2:3" x14ac:dyDescent="0.3">
      <c r="B329" s="2">
        <f t="shared" si="6"/>
        <v>32.700000000000195</v>
      </c>
      <c r="C329" s="2">
        <v>0</v>
      </c>
    </row>
    <row r="330" spans="2:3" x14ac:dyDescent="0.3">
      <c r="B330" s="2">
        <f t="shared" si="6"/>
        <v>32.800000000000196</v>
      </c>
      <c r="C330" s="2">
        <v>0</v>
      </c>
    </row>
    <row r="331" spans="2:3" x14ac:dyDescent="0.3">
      <c r="B331" s="2">
        <f t="shared" si="6"/>
        <v>32.900000000000198</v>
      </c>
      <c r="C331" s="2">
        <v>0</v>
      </c>
    </row>
    <row r="332" spans="2:3" x14ac:dyDescent="0.3">
      <c r="B332" s="2">
        <f t="shared" si="6"/>
        <v>33.000000000000199</v>
      </c>
      <c r="C332" s="2">
        <v>0</v>
      </c>
    </row>
    <row r="333" spans="2:3" x14ac:dyDescent="0.3">
      <c r="B333" s="2">
        <f t="shared" si="6"/>
        <v>33.1000000000002</v>
      </c>
      <c r="C333" s="2">
        <v>0</v>
      </c>
    </row>
    <row r="334" spans="2:3" x14ac:dyDescent="0.3">
      <c r="B334" s="2">
        <f t="shared" si="6"/>
        <v>33.200000000000202</v>
      </c>
      <c r="C334" s="2">
        <v>0</v>
      </c>
    </row>
    <row r="335" spans="2:3" x14ac:dyDescent="0.3">
      <c r="B335" s="2">
        <f t="shared" si="6"/>
        <v>33.300000000000203</v>
      </c>
      <c r="C335" s="2">
        <v>0</v>
      </c>
    </row>
    <row r="336" spans="2:3" x14ac:dyDescent="0.3">
      <c r="B336" s="2">
        <f t="shared" si="6"/>
        <v>33.400000000000205</v>
      </c>
      <c r="C336" s="2">
        <v>0</v>
      </c>
    </row>
    <row r="337" spans="2:3" x14ac:dyDescent="0.3">
      <c r="B337" s="2">
        <f t="shared" si="6"/>
        <v>33.500000000000206</v>
      </c>
      <c r="C337" s="2">
        <v>0</v>
      </c>
    </row>
    <row r="338" spans="2:3" x14ac:dyDescent="0.3">
      <c r="B338" s="2">
        <f t="shared" si="6"/>
        <v>33.600000000000207</v>
      </c>
      <c r="C338" s="2">
        <v>0</v>
      </c>
    </row>
    <row r="339" spans="2:3" x14ac:dyDescent="0.3">
      <c r="B339" s="2">
        <f t="shared" si="6"/>
        <v>33.700000000000209</v>
      </c>
      <c r="C339" s="2">
        <v>0</v>
      </c>
    </row>
    <row r="340" spans="2:3" x14ac:dyDescent="0.3">
      <c r="B340" s="2">
        <f t="shared" si="6"/>
        <v>33.80000000000021</v>
      </c>
      <c r="C340" s="2">
        <v>0</v>
      </c>
    </row>
    <row r="341" spans="2:3" x14ac:dyDescent="0.3">
      <c r="B341" s="2">
        <f t="shared" si="6"/>
        <v>33.900000000000212</v>
      </c>
      <c r="C341" s="2">
        <v>0</v>
      </c>
    </row>
    <row r="342" spans="2:3" x14ac:dyDescent="0.3">
      <c r="B342" s="2">
        <f t="shared" si="6"/>
        <v>34.000000000000213</v>
      </c>
      <c r="C342" s="2">
        <v>0</v>
      </c>
    </row>
    <row r="343" spans="2:3" x14ac:dyDescent="0.3">
      <c r="B343" s="2">
        <f t="shared" si="6"/>
        <v>34.100000000000215</v>
      </c>
      <c r="C343" s="2">
        <v>0</v>
      </c>
    </row>
    <row r="344" spans="2:3" x14ac:dyDescent="0.3">
      <c r="B344" s="2">
        <f t="shared" si="6"/>
        <v>34.200000000000216</v>
      </c>
      <c r="C344" s="2">
        <v>0</v>
      </c>
    </row>
    <row r="345" spans="2:3" x14ac:dyDescent="0.3">
      <c r="B345" s="2">
        <f t="shared" si="6"/>
        <v>34.300000000000217</v>
      </c>
      <c r="C345" s="2">
        <v>0</v>
      </c>
    </row>
    <row r="346" spans="2:3" x14ac:dyDescent="0.3">
      <c r="B346" s="2">
        <f t="shared" si="6"/>
        <v>34.400000000000219</v>
      </c>
      <c r="C346" s="2">
        <v>0</v>
      </c>
    </row>
    <row r="347" spans="2:3" x14ac:dyDescent="0.3">
      <c r="B347" s="2">
        <f t="shared" si="6"/>
        <v>34.50000000000022</v>
      </c>
      <c r="C347" s="2">
        <v>0</v>
      </c>
    </row>
    <row r="348" spans="2:3" x14ac:dyDescent="0.3">
      <c r="B348" s="2">
        <f t="shared" si="6"/>
        <v>34.600000000000222</v>
      </c>
      <c r="C348" s="2">
        <v>0</v>
      </c>
    </row>
    <row r="349" spans="2:3" x14ac:dyDescent="0.3">
      <c r="B349" s="2">
        <f t="shared" si="6"/>
        <v>34.700000000000223</v>
      </c>
      <c r="C349" s="2">
        <v>0</v>
      </c>
    </row>
    <row r="350" spans="2:3" x14ac:dyDescent="0.3">
      <c r="B350" s="2">
        <f t="shared" si="6"/>
        <v>34.800000000000225</v>
      </c>
      <c r="C350" s="2">
        <v>0</v>
      </c>
    </row>
    <row r="351" spans="2:3" x14ac:dyDescent="0.3">
      <c r="B351" s="2">
        <f t="shared" si="6"/>
        <v>34.900000000000226</v>
      </c>
      <c r="C351" s="2">
        <v>0</v>
      </c>
    </row>
    <row r="352" spans="2:3" x14ac:dyDescent="0.3">
      <c r="B352" s="2">
        <f t="shared" si="6"/>
        <v>35.000000000000227</v>
      </c>
      <c r="C352" s="2">
        <v>0</v>
      </c>
    </row>
    <row r="353" spans="2:3" x14ac:dyDescent="0.3">
      <c r="B353" s="2">
        <f t="shared" si="6"/>
        <v>35.100000000000229</v>
      </c>
      <c r="C353" s="2">
        <v>0</v>
      </c>
    </row>
    <row r="354" spans="2:3" x14ac:dyDescent="0.3">
      <c r="B354" s="2">
        <f t="shared" si="6"/>
        <v>35.20000000000023</v>
      </c>
      <c r="C354" s="2">
        <v>0</v>
      </c>
    </row>
    <row r="355" spans="2:3" x14ac:dyDescent="0.3">
      <c r="B355" s="2">
        <f t="shared" si="6"/>
        <v>35.300000000000232</v>
      </c>
      <c r="C355" s="2">
        <v>0</v>
      </c>
    </row>
    <row r="356" spans="2:3" x14ac:dyDescent="0.3">
      <c r="B356" s="2">
        <f t="shared" si="6"/>
        <v>35.400000000000233</v>
      </c>
      <c r="C356" s="2">
        <v>0</v>
      </c>
    </row>
    <row r="357" spans="2:3" x14ac:dyDescent="0.3">
      <c r="B357" s="2">
        <f t="shared" si="6"/>
        <v>35.500000000000234</v>
      </c>
      <c r="C357" s="2">
        <v>0</v>
      </c>
    </row>
    <row r="358" spans="2:3" x14ac:dyDescent="0.3">
      <c r="B358" s="2">
        <f t="shared" si="6"/>
        <v>35.600000000000236</v>
      </c>
      <c r="C358" s="2">
        <v>0</v>
      </c>
    </row>
    <row r="359" spans="2:3" x14ac:dyDescent="0.3">
      <c r="B359" s="2">
        <f t="shared" si="6"/>
        <v>35.700000000000237</v>
      </c>
      <c r="C359" s="2">
        <v>0</v>
      </c>
    </row>
    <row r="360" spans="2:3" x14ac:dyDescent="0.3">
      <c r="B360" s="2">
        <f t="shared" si="6"/>
        <v>35.800000000000239</v>
      </c>
      <c r="C360" s="2">
        <v>0</v>
      </c>
    </row>
    <row r="361" spans="2:3" x14ac:dyDescent="0.3">
      <c r="B361" s="2">
        <f t="shared" si="6"/>
        <v>35.90000000000024</v>
      </c>
      <c r="C361" s="2">
        <v>0</v>
      </c>
    </row>
    <row r="362" spans="2:3" x14ac:dyDescent="0.3">
      <c r="B362" s="2">
        <f t="shared" si="6"/>
        <v>36.000000000000242</v>
      </c>
      <c r="C362" s="2">
        <v>0</v>
      </c>
    </row>
    <row r="363" spans="2:3" x14ac:dyDescent="0.3">
      <c r="B363" s="2">
        <f t="shared" si="6"/>
        <v>36.100000000000243</v>
      </c>
      <c r="C363" s="2">
        <v>0</v>
      </c>
    </row>
    <row r="364" spans="2:3" x14ac:dyDescent="0.3">
      <c r="B364" s="2">
        <f t="shared" si="6"/>
        <v>36.200000000000244</v>
      </c>
      <c r="C364" s="2">
        <v>0</v>
      </c>
    </row>
    <row r="365" spans="2:3" x14ac:dyDescent="0.3">
      <c r="B365" s="2">
        <f t="shared" si="6"/>
        <v>36.300000000000246</v>
      </c>
      <c r="C365" s="2">
        <v>0</v>
      </c>
    </row>
    <row r="366" spans="2:3" x14ac:dyDescent="0.3">
      <c r="B366" s="2">
        <f t="shared" si="6"/>
        <v>36.400000000000247</v>
      </c>
      <c r="C366" s="2">
        <v>0</v>
      </c>
    </row>
    <row r="367" spans="2:3" x14ac:dyDescent="0.3">
      <c r="B367" s="2">
        <f t="shared" si="6"/>
        <v>36.500000000000249</v>
      </c>
      <c r="C367" s="2">
        <v>0</v>
      </c>
    </row>
    <row r="368" spans="2:3" x14ac:dyDescent="0.3">
      <c r="B368" s="2">
        <f t="shared" si="6"/>
        <v>36.60000000000025</v>
      </c>
      <c r="C368" s="2">
        <v>0</v>
      </c>
    </row>
    <row r="369" spans="2:3" x14ac:dyDescent="0.3">
      <c r="B369" s="2">
        <f t="shared" si="6"/>
        <v>36.700000000000252</v>
      </c>
      <c r="C369" s="2">
        <v>0</v>
      </c>
    </row>
    <row r="370" spans="2:3" x14ac:dyDescent="0.3">
      <c r="B370" s="2">
        <f t="shared" si="6"/>
        <v>36.800000000000253</v>
      </c>
      <c r="C370" s="2">
        <v>0</v>
      </c>
    </row>
    <row r="371" spans="2:3" x14ac:dyDescent="0.3">
      <c r="B371" s="2">
        <f t="shared" si="6"/>
        <v>36.900000000000254</v>
      </c>
      <c r="C371" s="2">
        <v>0</v>
      </c>
    </row>
    <row r="372" spans="2:3" x14ac:dyDescent="0.3">
      <c r="B372" s="2">
        <f t="shared" si="6"/>
        <v>37.000000000000256</v>
      </c>
      <c r="C372" s="2">
        <v>0</v>
      </c>
    </row>
    <row r="373" spans="2:3" x14ac:dyDescent="0.3">
      <c r="B373" s="2">
        <f t="shared" si="6"/>
        <v>37.100000000000257</v>
      </c>
      <c r="C373" s="2">
        <v>0</v>
      </c>
    </row>
    <row r="374" spans="2:3" x14ac:dyDescent="0.3">
      <c r="B374" s="2">
        <f t="shared" si="6"/>
        <v>37.200000000000259</v>
      </c>
      <c r="C374" s="2">
        <v>0</v>
      </c>
    </row>
    <row r="375" spans="2:3" x14ac:dyDescent="0.3">
      <c r="B375" s="2">
        <f t="shared" si="6"/>
        <v>37.30000000000026</v>
      </c>
      <c r="C375" s="2">
        <v>0</v>
      </c>
    </row>
    <row r="376" spans="2:3" x14ac:dyDescent="0.3">
      <c r="B376" s="2">
        <f t="shared" si="6"/>
        <v>37.400000000000261</v>
      </c>
      <c r="C376" s="2">
        <v>0</v>
      </c>
    </row>
    <row r="377" spans="2:3" x14ac:dyDescent="0.3">
      <c r="B377" s="2">
        <f t="shared" si="6"/>
        <v>37.500000000000263</v>
      </c>
      <c r="C377" s="2">
        <v>0</v>
      </c>
    </row>
    <row r="378" spans="2:3" x14ac:dyDescent="0.3">
      <c r="B378" s="2">
        <f t="shared" si="6"/>
        <v>37.600000000000264</v>
      </c>
      <c r="C378" s="2">
        <v>0</v>
      </c>
    </row>
    <row r="379" spans="2:3" x14ac:dyDescent="0.3">
      <c r="B379" s="2">
        <f t="shared" si="6"/>
        <v>37.700000000000266</v>
      </c>
      <c r="C379" s="2">
        <v>0</v>
      </c>
    </row>
    <row r="380" spans="2:3" x14ac:dyDescent="0.3">
      <c r="B380" s="2">
        <f t="shared" si="6"/>
        <v>37.800000000000267</v>
      </c>
      <c r="C380" s="2">
        <v>0</v>
      </c>
    </row>
    <row r="381" spans="2:3" x14ac:dyDescent="0.3">
      <c r="B381" s="2">
        <f t="shared" si="6"/>
        <v>37.900000000000269</v>
      </c>
      <c r="C381" s="2">
        <v>0</v>
      </c>
    </row>
    <row r="382" spans="2:3" x14ac:dyDescent="0.3">
      <c r="B382" s="2">
        <f t="shared" si="6"/>
        <v>38.00000000000027</v>
      </c>
      <c r="C382" s="2">
        <v>0</v>
      </c>
    </row>
    <row r="383" spans="2:3" x14ac:dyDescent="0.3">
      <c r="B383" s="2">
        <f t="shared" si="6"/>
        <v>38.100000000000271</v>
      </c>
      <c r="C383" s="2">
        <v>0</v>
      </c>
    </row>
    <row r="384" spans="2:3" x14ac:dyDescent="0.3">
      <c r="B384" s="2">
        <f t="shared" si="6"/>
        <v>38.200000000000273</v>
      </c>
      <c r="C384" s="2">
        <v>0</v>
      </c>
    </row>
    <row r="385" spans="2:3" x14ac:dyDescent="0.3">
      <c r="B385" s="2">
        <f t="shared" si="6"/>
        <v>38.300000000000274</v>
      </c>
      <c r="C385" s="2">
        <v>0</v>
      </c>
    </row>
    <row r="386" spans="2:3" x14ac:dyDescent="0.3">
      <c r="B386" s="2">
        <f t="shared" si="6"/>
        <v>38.400000000000276</v>
      </c>
      <c r="C386" s="2">
        <v>0</v>
      </c>
    </row>
    <row r="387" spans="2:3" x14ac:dyDescent="0.3">
      <c r="B387" s="2">
        <f t="shared" si="6"/>
        <v>38.500000000000277</v>
      </c>
      <c r="C387" s="2">
        <v>0</v>
      </c>
    </row>
    <row r="388" spans="2:3" x14ac:dyDescent="0.3">
      <c r="B388" s="2">
        <f t="shared" ref="B388:B402" si="7">B387+0.1</f>
        <v>38.600000000000279</v>
      </c>
      <c r="C388" s="2">
        <v>0</v>
      </c>
    </row>
    <row r="389" spans="2:3" x14ac:dyDescent="0.3">
      <c r="B389" s="2">
        <f t="shared" si="7"/>
        <v>38.70000000000028</v>
      </c>
      <c r="C389" s="2">
        <v>0</v>
      </c>
    </row>
    <row r="390" spans="2:3" x14ac:dyDescent="0.3">
      <c r="B390" s="2">
        <f t="shared" si="7"/>
        <v>38.800000000000281</v>
      </c>
      <c r="C390" s="2">
        <v>0</v>
      </c>
    </row>
    <row r="391" spans="2:3" x14ac:dyDescent="0.3">
      <c r="B391" s="2">
        <f t="shared" si="7"/>
        <v>38.900000000000283</v>
      </c>
      <c r="C391" s="2">
        <v>0</v>
      </c>
    </row>
    <row r="392" spans="2:3" x14ac:dyDescent="0.3">
      <c r="B392" s="2">
        <f t="shared" si="7"/>
        <v>39.000000000000284</v>
      </c>
      <c r="C392" s="2">
        <v>0</v>
      </c>
    </row>
    <row r="393" spans="2:3" x14ac:dyDescent="0.3">
      <c r="B393" s="2">
        <f t="shared" si="7"/>
        <v>39.100000000000286</v>
      </c>
      <c r="C393" s="2">
        <v>0</v>
      </c>
    </row>
    <row r="394" spans="2:3" x14ac:dyDescent="0.3">
      <c r="B394" s="2">
        <f t="shared" si="7"/>
        <v>39.200000000000287</v>
      </c>
      <c r="C394" s="2">
        <v>0</v>
      </c>
    </row>
    <row r="395" spans="2:3" x14ac:dyDescent="0.3">
      <c r="B395" s="2">
        <f t="shared" si="7"/>
        <v>39.300000000000288</v>
      </c>
      <c r="C395" s="2">
        <v>0</v>
      </c>
    </row>
    <row r="396" spans="2:3" x14ac:dyDescent="0.3">
      <c r="B396" s="2">
        <f t="shared" si="7"/>
        <v>39.40000000000029</v>
      </c>
      <c r="C396" s="2">
        <v>0</v>
      </c>
    </row>
    <row r="397" spans="2:3" x14ac:dyDescent="0.3">
      <c r="B397" s="2">
        <f t="shared" si="7"/>
        <v>39.500000000000291</v>
      </c>
      <c r="C397" s="2">
        <v>0</v>
      </c>
    </row>
    <row r="398" spans="2:3" x14ac:dyDescent="0.3">
      <c r="B398" s="2">
        <f t="shared" si="7"/>
        <v>39.600000000000293</v>
      </c>
      <c r="C398" s="2">
        <v>0</v>
      </c>
    </row>
    <row r="399" spans="2:3" x14ac:dyDescent="0.3">
      <c r="B399" s="2">
        <f t="shared" si="7"/>
        <v>39.700000000000294</v>
      </c>
      <c r="C399" s="2">
        <v>0</v>
      </c>
    </row>
    <row r="400" spans="2:3" x14ac:dyDescent="0.3">
      <c r="B400" s="2">
        <f t="shared" si="7"/>
        <v>39.800000000000296</v>
      </c>
      <c r="C400" s="2">
        <v>0</v>
      </c>
    </row>
    <row r="401" spans="2:3" x14ac:dyDescent="0.3">
      <c r="B401" s="2">
        <f t="shared" si="7"/>
        <v>39.900000000000297</v>
      </c>
      <c r="C401" s="2">
        <v>0</v>
      </c>
    </row>
    <row r="402" spans="2:3" x14ac:dyDescent="0.3">
      <c r="B402" s="2">
        <f t="shared" si="7"/>
        <v>40.000000000000298</v>
      </c>
      <c r="C402" s="2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2FE48-7CB5-4D25-9EC1-77202B16DEB3}">
  <dimension ref="A1:F402"/>
  <sheetViews>
    <sheetView zoomScale="76" workbookViewId="0">
      <selection activeCell="E23" sqref="E23"/>
    </sheetView>
  </sheetViews>
  <sheetFormatPr defaultRowHeight="14.4" x14ac:dyDescent="0.3"/>
  <cols>
    <col min="1" max="1" width="18.21875" customWidth="1"/>
    <col min="2" max="2" width="9" bestFit="1" customWidth="1"/>
    <col min="6" max="6" width="11.77734375" customWidth="1"/>
  </cols>
  <sheetData>
    <row r="1" spans="1:6" x14ac:dyDescent="0.3">
      <c r="A1" s="11" t="s">
        <v>10</v>
      </c>
      <c r="B1" s="2" t="s">
        <v>8</v>
      </c>
      <c r="C1" s="2" t="s">
        <v>7</v>
      </c>
      <c r="E1" s="18" t="s">
        <v>16</v>
      </c>
      <c r="F1" s="10"/>
    </row>
    <row r="2" spans="1:6" x14ac:dyDescent="0.3">
      <c r="A2" t="s">
        <v>9</v>
      </c>
      <c r="B2" s="2">
        <v>0</v>
      </c>
      <c r="C2" s="2">
        <v>0</v>
      </c>
    </row>
    <row r="3" spans="1:6" x14ac:dyDescent="0.3">
      <c r="A3" s="10" t="s">
        <v>12</v>
      </c>
      <c r="B3" s="2">
        <f>B2+0.05</f>
        <v>0.05</v>
      </c>
      <c r="C3" s="2">
        <v>0</v>
      </c>
    </row>
    <row r="4" spans="1:6" x14ac:dyDescent="0.3">
      <c r="A4" s="10" t="s">
        <v>13</v>
      </c>
      <c r="B4" s="2">
        <f t="shared" ref="B4:B67" si="0">B3+0.05</f>
        <v>0.1</v>
      </c>
      <c r="C4" s="2">
        <v>0</v>
      </c>
    </row>
    <row r="5" spans="1:6" x14ac:dyDescent="0.3">
      <c r="A5" s="10" t="s">
        <v>14</v>
      </c>
      <c r="B5" s="2">
        <f t="shared" si="0"/>
        <v>0.15000000000000002</v>
      </c>
      <c r="C5" s="2">
        <v>0</v>
      </c>
    </row>
    <row r="6" spans="1:6" x14ac:dyDescent="0.3">
      <c r="B6" s="2">
        <f t="shared" si="0"/>
        <v>0.2</v>
      </c>
      <c r="C6" s="2">
        <v>0</v>
      </c>
    </row>
    <row r="7" spans="1:6" x14ac:dyDescent="0.3">
      <c r="B7" s="2">
        <f t="shared" si="0"/>
        <v>0.25</v>
      </c>
      <c r="C7" s="2">
        <v>0</v>
      </c>
    </row>
    <row r="8" spans="1:6" x14ac:dyDescent="0.3">
      <c r="B8" s="2">
        <f t="shared" si="0"/>
        <v>0.3</v>
      </c>
      <c r="C8" s="2">
        <v>0</v>
      </c>
    </row>
    <row r="9" spans="1:6" x14ac:dyDescent="0.3">
      <c r="B9" s="2">
        <f t="shared" si="0"/>
        <v>0.35</v>
      </c>
      <c r="C9" s="2">
        <v>0</v>
      </c>
    </row>
    <row r="10" spans="1:6" x14ac:dyDescent="0.3">
      <c r="B10" s="2">
        <f t="shared" si="0"/>
        <v>0.39999999999999997</v>
      </c>
      <c r="C10" s="2">
        <v>0</v>
      </c>
    </row>
    <row r="11" spans="1:6" x14ac:dyDescent="0.3">
      <c r="B11" s="2">
        <f t="shared" si="0"/>
        <v>0.44999999999999996</v>
      </c>
      <c r="C11" s="2">
        <v>0</v>
      </c>
    </row>
    <row r="12" spans="1:6" x14ac:dyDescent="0.3">
      <c r="B12" s="2">
        <f t="shared" si="0"/>
        <v>0.49999999999999994</v>
      </c>
      <c r="C12" s="2">
        <v>0</v>
      </c>
    </row>
    <row r="13" spans="1:6" x14ac:dyDescent="0.3">
      <c r="B13" s="2">
        <f t="shared" si="0"/>
        <v>0.54999999999999993</v>
      </c>
      <c r="C13" s="2">
        <v>0</v>
      </c>
    </row>
    <row r="14" spans="1:6" x14ac:dyDescent="0.3">
      <c r="B14" s="2">
        <f t="shared" si="0"/>
        <v>0.6</v>
      </c>
      <c r="C14" s="2">
        <v>0</v>
      </c>
    </row>
    <row r="15" spans="1:6" x14ac:dyDescent="0.3">
      <c r="B15" s="2">
        <f t="shared" si="0"/>
        <v>0.65</v>
      </c>
      <c r="C15" s="2">
        <v>0</v>
      </c>
    </row>
    <row r="16" spans="1:6" x14ac:dyDescent="0.3">
      <c r="B16" s="2">
        <f t="shared" si="0"/>
        <v>0.70000000000000007</v>
      </c>
      <c r="C16" s="2">
        <v>0</v>
      </c>
    </row>
    <row r="17" spans="2:3" x14ac:dyDescent="0.3">
      <c r="B17" s="2">
        <f t="shared" si="0"/>
        <v>0.75000000000000011</v>
      </c>
      <c r="C17" s="2">
        <v>0</v>
      </c>
    </row>
    <row r="18" spans="2:3" x14ac:dyDescent="0.3">
      <c r="B18" s="2">
        <f t="shared" si="0"/>
        <v>0.80000000000000016</v>
      </c>
      <c r="C18" s="2">
        <v>0</v>
      </c>
    </row>
    <row r="19" spans="2:3" x14ac:dyDescent="0.3">
      <c r="B19" s="2">
        <f t="shared" si="0"/>
        <v>0.8500000000000002</v>
      </c>
      <c r="C19" s="2">
        <v>0</v>
      </c>
    </row>
    <row r="20" spans="2:3" x14ac:dyDescent="0.3">
      <c r="B20" s="2">
        <f t="shared" si="0"/>
        <v>0.90000000000000024</v>
      </c>
      <c r="C20" s="2">
        <v>0</v>
      </c>
    </row>
    <row r="21" spans="2:3" x14ac:dyDescent="0.3">
      <c r="B21" s="2">
        <f t="shared" si="0"/>
        <v>0.95000000000000029</v>
      </c>
      <c r="C21" s="2">
        <v>0</v>
      </c>
    </row>
    <row r="22" spans="2:3" x14ac:dyDescent="0.3">
      <c r="B22" s="2">
        <f t="shared" si="0"/>
        <v>1.0000000000000002</v>
      </c>
      <c r="C22" s="2">
        <v>0</v>
      </c>
    </row>
    <row r="23" spans="2:3" x14ac:dyDescent="0.3">
      <c r="B23" s="2">
        <f t="shared" si="0"/>
        <v>1.0500000000000003</v>
      </c>
      <c r="C23" s="2">
        <v>0</v>
      </c>
    </row>
    <row r="24" spans="2:3" x14ac:dyDescent="0.3">
      <c r="B24" s="2">
        <f t="shared" si="0"/>
        <v>1.1000000000000003</v>
      </c>
      <c r="C24" s="2">
        <v>0</v>
      </c>
    </row>
    <row r="25" spans="2:3" x14ac:dyDescent="0.3">
      <c r="B25" s="2">
        <f t="shared" si="0"/>
        <v>1.1500000000000004</v>
      </c>
      <c r="C25" s="2">
        <v>0</v>
      </c>
    </row>
    <row r="26" spans="2:3" x14ac:dyDescent="0.3">
      <c r="B26" s="2">
        <f t="shared" si="0"/>
        <v>1.2000000000000004</v>
      </c>
      <c r="C26" s="2">
        <v>0</v>
      </c>
    </row>
    <row r="27" spans="2:3" x14ac:dyDescent="0.3">
      <c r="B27" s="2">
        <f t="shared" si="0"/>
        <v>1.2500000000000004</v>
      </c>
      <c r="C27" s="2">
        <v>0</v>
      </c>
    </row>
    <row r="28" spans="2:3" x14ac:dyDescent="0.3">
      <c r="B28" s="2">
        <f t="shared" si="0"/>
        <v>1.3000000000000005</v>
      </c>
      <c r="C28" s="2">
        <v>0</v>
      </c>
    </row>
    <row r="29" spans="2:3" x14ac:dyDescent="0.3">
      <c r="B29" s="2">
        <f t="shared" si="0"/>
        <v>1.3500000000000005</v>
      </c>
      <c r="C29" s="2">
        <v>0</v>
      </c>
    </row>
    <row r="30" spans="2:3" x14ac:dyDescent="0.3">
      <c r="B30" s="2">
        <f t="shared" si="0"/>
        <v>1.4000000000000006</v>
      </c>
      <c r="C30" s="2">
        <v>0</v>
      </c>
    </row>
    <row r="31" spans="2:3" x14ac:dyDescent="0.3">
      <c r="B31" s="2">
        <f t="shared" si="0"/>
        <v>1.4500000000000006</v>
      </c>
      <c r="C31" s="2">
        <v>0</v>
      </c>
    </row>
    <row r="32" spans="2:3" x14ac:dyDescent="0.3">
      <c r="B32" s="2">
        <f t="shared" si="0"/>
        <v>1.5000000000000007</v>
      </c>
      <c r="C32" s="2">
        <v>0</v>
      </c>
    </row>
    <row r="33" spans="2:3" x14ac:dyDescent="0.3">
      <c r="B33" s="2">
        <f t="shared" si="0"/>
        <v>1.5500000000000007</v>
      </c>
      <c r="C33" s="2">
        <v>0</v>
      </c>
    </row>
    <row r="34" spans="2:3" x14ac:dyDescent="0.3">
      <c r="B34" s="2">
        <f t="shared" si="0"/>
        <v>1.6000000000000008</v>
      </c>
      <c r="C34" s="2">
        <v>0</v>
      </c>
    </row>
    <row r="35" spans="2:3" x14ac:dyDescent="0.3">
      <c r="B35" s="2">
        <f t="shared" si="0"/>
        <v>1.6500000000000008</v>
      </c>
      <c r="C35" s="2">
        <v>0</v>
      </c>
    </row>
    <row r="36" spans="2:3" x14ac:dyDescent="0.3">
      <c r="B36" s="2">
        <f t="shared" si="0"/>
        <v>1.7000000000000008</v>
      </c>
      <c r="C36" s="2">
        <v>0</v>
      </c>
    </row>
    <row r="37" spans="2:3" x14ac:dyDescent="0.3">
      <c r="B37" s="2">
        <f t="shared" si="0"/>
        <v>1.7500000000000009</v>
      </c>
      <c r="C37" s="2">
        <v>0</v>
      </c>
    </row>
    <row r="38" spans="2:3" x14ac:dyDescent="0.3">
      <c r="B38" s="2">
        <f t="shared" si="0"/>
        <v>1.8000000000000009</v>
      </c>
      <c r="C38" s="2">
        <v>0</v>
      </c>
    </row>
    <row r="39" spans="2:3" x14ac:dyDescent="0.3">
      <c r="B39" s="2">
        <f t="shared" si="0"/>
        <v>1.850000000000001</v>
      </c>
      <c r="C39" s="2">
        <v>0</v>
      </c>
    </row>
    <row r="40" spans="2:3" x14ac:dyDescent="0.3">
      <c r="B40" s="2">
        <f t="shared" si="0"/>
        <v>1.900000000000001</v>
      </c>
      <c r="C40" s="2">
        <v>0</v>
      </c>
    </row>
    <row r="41" spans="2:3" x14ac:dyDescent="0.3">
      <c r="B41" s="2">
        <f t="shared" si="0"/>
        <v>1.9500000000000011</v>
      </c>
      <c r="C41" s="2">
        <v>0</v>
      </c>
    </row>
    <row r="42" spans="2:3" x14ac:dyDescent="0.3">
      <c r="B42" s="2">
        <f t="shared" si="0"/>
        <v>2.0000000000000009</v>
      </c>
      <c r="C42" s="2">
        <v>0</v>
      </c>
    </row>
    <row r="43" spans="2:3" x14ac:dyDescent="0.3">
      <c r="B43" s="2">
        <f t="shared" si="0"/>
        <v>2.0500000000000007</v>
      </c>
      <c r="C43" s="2">
        <v>0</v>
      </c>
    </row>
    <row r="44" spans="2:3" x14ac:dyDescent="0.3">
      <c r="B44" s="2">
        <f t="shared" si="0"/>
        <v>2.1000000000000005</v>
      </c>
      <c r="C44" s="2">
        <v>0</v>
      </c>
    </row>
    <row r="45" spans="2:3" x14ac:dyDescent="0.3">
      <c r="B45" s="2">
        <f t="shared" si="0"/>
        <v>2.1500000000000004</v>
      </c>
      <c r="C45" s="2">
        <v>0</v>
      </c>
    </row>
    <row r="46" spans="2:3" x14ac:dyDescent="0.3">
      <c r="B46" s="2">
        <f t="shared" si="0"/>
        <v>2.2000000000000002</v>
      </c>
      <c r="C46" s="2">
        <v>0</v>
      </c>
    </row>
    <row r="47" spans="2:3" x14ac:dyDescent="0.3">
      <c r="B47" s="2">
        <f t="shared" si="0"/>
        <v>2.25</v>
      </c>
      <c r="C47" s="2">
        <v>0</v>
      </c>
    </row>
    <row r="48" spans="2:3" x14ac:dyDescent="0.3">
      <c r="B48" s="2">
        <f t="shared" si="0"/>
        <v>2.2999999999999998</v>
      </c>
      <c r="C48" s="2">
        <v>0</v>
      </c>
    </row>
    <row r="49" spans="2:3" x14ac:dyDescent="0.3">
      <c r="B49" s="2">
        <f t="shared" si="0"/>
        <v>2.3499999999999996</v>
      </c>
      <c r="C49" s="2">
        <v>0</v>
      </c>
    </row>
    <row r="50" spans="2:3" x14ac:dyDescent="0.3">
      <c r="B50" s="2">
        <f t="shared" si="0"/>
        <v>2.3999999999999995</v>
      </c>
      <c r="C50" s="2">
        <v>0</v>
      </c>
    </row>
    <row r="51" spans="2:3" x14ac:dyDescent="0.3">
      <c r="B51" s="2">
        <f t="shared" si="0"/>
        <v>2.4499999999999993</v>
      </c>
      <c r="C51" s="2">
        <v>0</v>
      </c>
    </row>
    <row r="52" spans="2:3" x14ac:dyDescent="0.3">
      <c r="B52" s="2">
        <f t="shared" si="0"/>
        <v>2.4999999999999991</v>
      </c>
      <c r="C52" s="2">
        <v>0</v>
      </c>
    </row>
    <row r="53" spans="2:3" x14ac:dyDescent="0.3">
      <c r="B53" s="2">
        <f t="shared" si="0"/>
        <v>2.5499999999999989</v>
      </c>
      <c r="C53" s="2">
        <v>0</v>
      </c>
    </row>
    <row r="54" spans="2:3" x14ac:dyDescent="0.3">
      <c r="B54" s="2">
        <f t="shared" si="0"/>
        <v>2.5999999999999988</v>
      </c>
      <c r="C54" s="2">
        <v>0</v>
      </c>
    </row>
    <row r="55" spans="2:3" x14ac:dyDescent="0.3">
      <c r="B55" s="2">
        <f t="shared" si="0"/>
        <v>2.6499999999999986</v>
      </c>
      <c r="C55" s="2">
        <v>0</v>
      </c>
    </row>
    <row r="56" spans="2:3" x14ac:dyDescent="0.3">
      <c r="B56" s="2">
        <f t="shared" si="0"/>
        <v>2.6999999999999984</v>
      </c>
      <c r="C56" s="2">
        <v>0</v>
      </c>
    </row>
    <row r="57" spans="2:3" x14ac:dyDescent="0.3">
      <c r="B57" s="2">
        <f t="shared" si="0"/>
        <v>2.7499999999999982</v>
      </c>
      <c r="C57" s="2">
        <v>0</v>
      </c>
    </row>
    <row r="58" spans="2:3" x14ac:dyDescent="0.3">
      <c r="B58" s="2">
        <f t="shared" si="0"/>
        <v>2.799999999999998</v>
      </c>
      <c r="C58" s="2">
        <v>0</v>
      </c>
    </row>
    <row r="59" spans="2:3" x14ac:dyDescent="0.3">
      <c r="B59" s="2">
        <f t="shared" si="0"/>
        <v>2.8499999999999979</v>
      </c>
      <c r="C59" s="2">
        <v>0</v>
      </c>
    </row>
    <row r="60" spans="2:3" x14ac:dyDescent="0.3">
      <c r="B60" s="2">
        <f t="shared" si="0"/>
        <v>2.8999999999999977</v>
      </c>
      <c r="C60" s="2">
        <v>0</v>
      </c>
    </row>
    <row r="61" spans="2:3" x14ac:dyDescent="0.3">
      <c r="B61" s="2">
        <f t="shared" si="0"/>
        <v>2.9499999999999975</v>
      </c>
      <c r="C61" s="2">
        <v>0</v>
      </c>
    </row>
    <row r="62" spans="2:3" x14ac:dyDescent="0.3">
      <c r="B62" s="2">
        <f t="shared" si="0"/>
        <v>2.9999999999999973</v>
      </c>
      <c r="C62" s="2">
        <v>0</v>
      </c>
    </row>
    <row r="63" spans="2:3" x14ac:dyDescent="0.3">
      <c r="B63" s="2">
        <f t="shared" si="0"/>
        <v>3.0499999999999972</v>
      </c>
      <c r="C63" s="2">
        <v>0</v>
      </c>
    </row>
    <row r="64" spans="2:3" x14ac:dyDescent="0.3">
      <c r="B64" s="2">
        <f t="shared" si="0"/>
        <v>3.099999999999997</v>
      </c>
      <c r="C64" s="2">
        <v>0</v>
      </c>
    </row>
    <row r="65" spans="2:3" x14ac:dyDescent="0.3">
      <c r="B65" s="2">
        <f t="shared" si="0"/>
        <v>3.1499999999999968</v>
      </c>
      <c r="C65" s="2">
        <v>0</v>
      </c>
    </row>
    <row r="66" spans="2:3" x14ac:dyDescent="0.3">
      <c r="B66" s="2">
        <f t="shared" si="0"/>
        <v>3.1999999999999966</v>
      </c>
      <c r="C66" s="2">
        <v>0</v>
      </c>
    </row>
    <row r="67" spans="2:3" x14ac:dyDescent="0.3">
      <c r="B67" s="2">
        <f t="shared" si="0"/>
        <v>3.2499999999999964</v>
      </c>
      <c r="C67" s="2">
        <v>0</v>
      </c>
    </row>
    <row r="68" spans="2:3" x14ac:dyDescent="0.3">
      <c r="B68" s="2">
        <f t="shared" ref="B68:B131" si="1">B67+0.05</f>
        <v>3.2999999999999963</v>
      </c>
      <c r="C68" s="2">
        <v>0</v>
      </c>
    </row>
    <row r="69" spans="2:3" x14ac:dyDescent="0.3">
      <c r="B69" s="2">
        <f t="shared" si="1"/>
        <v>3.3499999999999961</v>
      </c>
      <c r="C69" s="2">
        <v>0</v>
      </c>
    </row>
    <row r="70" spans="2:3" x14ac:dyDescent="0.3">
      <c r="B70" s="2">
        <f t="shared" si="1"/>
        <v>3.3999999999999959</v>
      </c>
      <c r="C70" s="2">
        <v>0</v>
      </c>
    </row>
    <row r="71" spans="2:3" x14ac:dyDescent="0.3">
      <c r="B71" s="2">
        <f t="shared" si="1"/>
        <v>3.4499999999999957</v>
      </c>
      <c r="C71" s="2">
        <v>0</v>
      </c>
    </row>
    <row r="72" spans="2:3" x14ac:dyDescent="0.3">
      <c r="B72" s="2">
        <f t="shared" si="1"/>
        <v>3.4999999999999956</v>
      </c>
      <c r="C72" s="2">
        <v>0</v>
      </c>
    </row>
    <row r="73" spans="2:3" x14ac:dyDescent="0.3">
      <c r="B73" s="2">
        <f t="shared" si="1"/>
        <v>3.5499999999999954</v>
      </c>
      <c r="C73" s="2">
        <v>0</v>
      </c>
    </row>
    <row r="74" spans="2:3" x14ac:dyDescent="0.3">
      <c r="B74" s="2">
        <f t="shared" si="1"/>
        <v>3.5999999999999952</v>
      </c>
      <c r="C74" s="2">
        <v>0</v>
      </c>
    </row>
    <row r="75" spans="2:3" x14ac:dyDescent="0.3">
      <c r="B75" s="2">
        <f t="shared" si="1"/>
        <v>3.649999999999995</v>
      </c>
      <c r="C75" s="2">
        <v>0</v>
      </c>
    </row>
    <row r="76" spans="2:3" x14ac:dyDescent="0.3">
      <c r="B76" s="2">
        <f t="shared" si="1"/>
        <v>3.6999999999999948</v>
      </c>
      <c r="C76" s="2">
        <v>0</v>
      </c>
    </row>
    <row r="77" spans="2:3" x14ac:dyDescent="0.3">
      <c r="B77" s="2">
        <f t="shared" si="1"/>
        <v>3.7499999999999947</v>
      </c>
      <c r="C77" s="2">
        <v>0</v>
      </c>
    </row>
    <row r="78" spans="2:3" x14ac:dyDescent="0.3">
      <c r="B78" s="2">
        <f t="shared" si="1"/>
        <v>3.7999999999999945</v>
      </c>
      <c r="C78" s="2">
        <v>0</v>
      </c>
    </row>
    <row r="79" spans="2:3" x14ac:dyDescent="0.3">
      <c r="B79" s="2">
        <f t="shared" si="1"/>
        <v>3.8499999999999943</v>
      </c>
      <c r="C79" s="2">
        <v>0</v>
      </c>
    </row>
    <row r="80" spans="2:3" x14ac:dyDescent="0.3">
      <c r="B80" s="2">
        <f t="shared" si="1"/>
        <v>3.8999999999999941</v>
      </c>
      <c r="C80" s="2">
        <v>0</v>
      </c>
    </row>
    <row r="81" spans="2:3" x14ac:dyDescent="0.3">
      <c r="B81" s="2">
        <f t="shared" si="1"/>
        <v>3.949999999999994</v>
      </c>
      <c r="C81" s="2">
        <v>0</v>
      </c>
    </row>
    <row r="82" spans="2:3" x14ac:dyDescent="0.3">
      <c r="B82" s="2">
        <f t="shared" si="1"/>
        <v>3.9999999999999938</v>
      </c>
      <c r="C82" s="2">
        <v>0</v>
      </c>
    </row>
    <row r="83" spans="2:3" x14ac:dyDescent="0.3">
      <c r="B83" s="2">
        <f t="shared" si="1"/>
        <v>4.0499999999999936</v>
      </c>
      <c r="C83" s="2">
        <v>0</v>
      </c>
    </row>
    <row r="84" spans="2:3" x14ac:dyDescent="0.3">
      <c r="B84" s="2">
        <f t="shared" si="1"/>
        <v>4.0999999999999934</v>
      </c>
      <c r="C84" s="2">
        <v>0</v>
      </c>
    </row>
    <row r="85" spans="2:3" x14ac:dyDescent="0.3">
      <c r="B85" s="2">
        <f t="shared" si="1"/>
        <v>4.1499999999999932</v>
      </c>
      <c r="C85" s="2">
        <v>0</v>
      </c>
    </row>
    <row r="86" spans="2:3" x14ac:dyDescent="0.3">
      <c r="B86" s="2">
        <f t="shared" si="1"/>
        <v>4.1999999999999931</v>
      </c>
      <c r="C86" s="2">
        <v>0</v>
      </c>
    </row>
    <row r="87" spans="2:3" x14ac:dyDescent="0.3">
      <c r="B87" s="2">
        <f t="shared" si="1"/>
        <v>4.2499999999999929</v>
      </c>
      <c r="C87" s="2">
        <v>0</v>
      </c>
    </row>
    <row r="88" spans="2:3" x14ac:dyDescent="0.3">
      <c r="B88" s="2">
        <f t="shared" si="1"/>
        <v>4.2999999999999927</v>
      </c>
      <c r="C88" s="2">
        <v>0</v>
      </c>
    </row>
    <row r="89" spans="2:3" x14ac:dyDescent="0.3">
      <c r="B89" s="2">
        <f t="shared" si="1"/>
        <v>4.3499999999999925</v>
      </c>
      <c r="C89" s="2">
        <v>0</v>
      </c>
    </row>
    <row r="90" spans="2:3" x14ac:dyDescent="0.3">
      <c r="B90" s="2">
        <f t="shared" si="1"/>
        <v>4.3999999999999924</v>
      </c>
      <c r="C90" s="2">
        <v>0</v>
      </c>
    </row>
    <row r="91" spans="2:3" x14ac:dyDescent="0.3">
      <c r="B91" s="2">
        <f t="shared" si="1"/>
        <v>4.4499999999999922</v>
      </c>
      <c r="C91" s="2">
        <v>0</v>
      </c>
    </row>
    <row r="92" spans="2:3" x14ac:dyDescent="0.3">
      <c r="B92" s="2">
        <f t="shared" si="1"/>
        <v>4.499999999999992</v>
      </c>
      <c r="C92" s="2">
        <v>0</v>
      </c>
    </row>
    <row r="93" spans="2:3" x14ac:dyDescent="0.3">
      <c r="B93" s="2">
        <f t="shared" si="1"/>
        <v>4.5499999999999918</v>
      </c>
      <c r="C93" s="2">
        <v>0</v>
      </c>
    </row>
    <row r="94" spans="2:3" x14ac:dyDescent="0.3">
      <c r="B94" s="2">
        <f t="shared" si="1"/>
        <v>4.5999999999999917</v>
      </c>
      <c r="C94" s="2">
        <v>0</v>
      </c>
    </row>
    <row r="95" spans="2:3" x14ac:dyDescent="0.3">
      <c r="B95" s="2">
        <f t="shared" si="1"/>
        <v>4.6499999999999915</v>
      </c>
      <c r="C95" s="2">
        <v>0</v>
      </c>
    </row>
    <row r="96" spans="2:3" x14ac:dyDescent="0.3">
      <c r="B96" s="2">
        <f t="shared" si="1"/>
        <v>4.6999999999999913</v>
      </c>
      <c r="C96" s="2">
        <v>0</v>
      </c>
    </row>
    <row r="97" spans="2:3" x14ac:dyDescent="0.3">
      <c r="B97" s="2">
        <f t="shared" si="1"/>
        <v>4.7499999999999911</v>
      </c>
      <c r="C97" s="2">
        <v>0</v>
      </c>
    </row>
    <row r="98" spans="2:3" x14ac:dyDescent="0.3">
      <c r="B98" s="2">
        <f t="shared" si="1"/>
        <v>4.7999999999999909</v>
      </c>
      <c r="C98" s="2">
        <v>0</v>
      </c>
    </row>
    <row r="99" spans="2:3" x14ac:dyDescent="0.3">
      <c r="B99" s="2">
        <f t="shared" si="1"/>
        <v>4.8499999999999908</v>
      </c>
      <c r="C99" s="2">
        <v>0</v>
      </c>
    </row>
    <row r="100" spans="2:3" x14ac:dyDescent="0.3">
      <c r="B100" s="2">
        <f t="shared" si="1"/>
        <v>4.8999999999999906</v>
      </c>
      <c r="C100" s="2">
        <v>0</v>
      </c>
    </row>
    <row r="101" spans="2:3" x14ac:dyDescent="0.3">
      <c r="B101" s="2">
        <f t="shared" si="1"/>
        <v>4.9499999999999904</v>
      </c>
      <c r="C101" s="2">
        <v>0</v>
      </c>
    </row>
    <row r="102" spans="2:3" x14ac:dyDescent="0.3">
      <c r="B102" s="2">
        <f t="shared" si="1"/>
        <v>4.9999999999999902</v>
      </c>
      <c r="C102" s="2">
        <v>0</v>
      </c>
    </row>
    <row r="103" spans="2:3" x14ac:dyDescent="0.3">
      <c r="B103" s="2">
        <f t="shared" si="1"/>
        <v>5.0499999999999901</v>
      </c>
      <c r="C103" s="2">
        <v>0</v>
      </c>
    </row>
    <row r="104" spans="2:3" x14ac:dyDescent="0.3">
      <c r="B104" s="2">
        <f t="shared" si="1"/>
        <v>5.0999999999999899</v>
      </c>
      <c r="C104" s="2">
        <v>0</v>
      </c>
    </row>
    <row r="105" spans="2:3" x14ac:dyDescent="0.3">
      <c r="B105" s="2">
        <f t="shared" si="1"/>
        <v>5.1499999999999897</v>
      </c>
      <c r="C105" s="2">
        <v>0</v>
      </c>
    </row>
    <row r="106" spans="2:3" x14ac:dyDescent="0.3">
      <c r="B106" s="2">
        <f t="shared" si="1"/>
        <v>5.1999999999999895</v>
      </c>
      <c r="C106" s="2">
        <v>0</v>
      </c>
    </row>
    <row r="107" spans="2:3" x14ac:dyDescent="0.3">
      <c r="B107" s="2">
        <f t="shared" si="1"/>
        <v>5.2499999999999893</v>
      </c>
      <c r="C107" s="2">
        <v>0</v>
      </c>
    </row>
    <row r="108" spans="2:3" x14ac:dyDescent="0.3">
      <c r="B108" s="2">
        <f t="shared" si="1"/>
        <v>5.2999999999999892</v>
      </c>
      <c r="C108" s="2">
        <v>0</v>
      </c>
    </row>
    <row r="109" spans="2:3" x14ac:dyDescent="0.3">
      <c r="B109" s="2">
        <f t="shared" si="1"/>
        <v>5.349999999999989</v>
      </c>
      <c r="C109" s="2">
        <v>0</v>
      </c>
    </row>
    <row r="110" spans="2:3" x14ac:dyDescent="0.3">
      <c r="B110" s="2">
        <f t="shared" si="1"/>
        <v>5.3999999999999888</v>
      </c>
      <c r="C110" s="2">
        <v>0</v>
      </c>
    </row>
    <row r="111" spans="2:3" x14ac:dyDescent="0.3">
      <c r="B111" s="2">
        <f t="shared" si="1"/>
        <v>5.4499999999999886</v>
      </c>
      <c r="C111" s="2">
        <v>0</v>
      </c>
    </row>
    <row r="112" spans="2:3" x14ac:dyDescent="0.3">
      <c r="B112" s="2">
        <f t="shared" si="1"/>
        <v>5.4999999999999885</v>
      </c>
      <c r="C112" s="2">
        <v>0</v>
      </c>
    </row>
    <row r="113" spans="2:3" x14ac:dyDescent="0.3">
      <c r="B113" s="2">
        <f t="shared" si="1"/>
        <v>5.5499999999999883</v>
      </c>
      <c r="C113" s="2">
        <v>0</v>
      </c>
    </row>
    <row r="114" spans="2:3" x14ac:dyDescent="0.3">
      <c r="B114" s="2">
        <f t="shared" si="1"/>
        <v>5.5999999999999881</v>
      </c>
      <c r="C114" s="2">
        <v>0</v>
      </c>
    </row>
    <row r="115" spans="2:3" x14ac:dyDescent="0.3">
      <c r="B115" s="2">
        <f t="shared" si="1"/>
        <v>5.6499999999999879</v>
      </c>
      <c r="C115" s="2">
        <v>0</v>
      </c>
    </row>
    <row r="116" spans="2:3" x14ac:dyDescent="0.3">
      <c r="B116" s="2">
        <f t="shared" si="1"/>
        <v>5.6999999999999877</v>
      </c>
      <c r="C116" s="2">
        <v>0</v>
      </c>
    </row>
    <row r="117" spans="2:3" x14ac:dyDescent="0.3">
      <c r="B117" s="2">
        <f t="shared" si="1"/>
        <v>5.7499999999999876</v>
      </c>
      <c r="C117" s="2">
        <v>0</v>
      </c>
    </row>
    <row r="118" spans="2:3" x14ac:dyDescent="0.3">
      <c r="B118" s="2">
        <f t="shared" si="1"/>
        <v>5.7999999999999874</v>
      </c>
      <c r="C118" s="2">
        <v>0</v>
      </c>
    </row>
    <row r="119" spans="2:3" x14ac:dyDescent="0.3">
      <c r="B119" s="2">
        <f t="shared" si="1"/>
        <v>5.8499999999999872</v>
      </c>
      <c r="C119" s="2">
        <v>0</v>
      </c>
    </row>
    <row r="120" spans="2:3" x14ac:dyDescent="0.3">
      <c r="B120" s="2">
        <f t="shared" si="1"/>
        <v>5.899999999999987</v>
      </c>
      <c r="C120" s="2">
        <v>0</v>
      </c>
    </row>
    <row r="121" spans="2:3" x14ac:dyDescent="0.3">
      <c r="B121" s="2">
        <f t="shared" si="1"/>
        <v>5.9499999999999869</v>
      </c>
      <c r="C121" s="2">
        <v>0</v>
      </c>
    </row>
    <row r="122" spans="2:3" x14ac:dyDescent="0.3">
      <c r="B122" s="2">
        <f t="shared" si="1"/>
        <v>5.9999999999999867</v>
      </c>
      <c r="C122" s="2">
        <v>0</v>
      </c>
    </row>
    <row r="123" spans="2:3" x14ac:dyDescent="0.3">
      <c r="B123" s="2">
        <f t="shared" si="1"/>
        <v>6.0499999999999865</v>
      </c>
      <c r="C123" s="2">
        <v>0</v>
      </c>
    </row>
    <row r="124" spans="2:3" x14ac:dyDescent="0.3">
      <c r="B124" s="2">
        <f t="shared" si="1"/>
        <v>6.0999999999999863</v>
      </c>
      <c r="C124" s="2">
        <v>0</v>
      </c>
    </row>
    <row r="125" spans="2:3" x14ac:dyDescent="0.3">
      <c r="B125" s="2">
        <f t="shared" si="1"/>
        <v>6.1499999999999861</v>
      </c>
      <c r="C125" s="2">
        <v>0</v>
      </c>
    </row>
    <row r="126" spans="2:3" x14ac:dyDescent="0.3">
      <c r="B126" s="2">
        <f t="shared" si="1"/>
        <v>6.199999999999986</v>
      </c>
      <c r="C126" s="2">
        <v>0</v>
      </c>
    </row>
    <row r="127" spans="2:3" x14ac:dyDescent="0.3">
      <c r="B127" s="2">
        <f t="shared" si="1"/>
        <v>6.2499999999999858</v>
      </c>
      <c r="C127" s="2">
        <v>0</v>
      </c>
    </row>
    <row r="128" spans="2:3" x14ac:dyDescent="0.3">
      <c r="B128" s="2">
        <f t="shared" si="1"/>
        <v>6.2999999999999856</v>
      </c>
      <c r="C128" s="2">
        <v>0</v>
      </c>
    </row>
    <row r="129" spans="2:3" x14ac:dyDescent="0.3">
      <c r="B129" s="2">
        <f t="shared" si="1"/>
        <v>6.3499999999999854</v>
      </c>
      <c r="C129" s="2">
        <v>0</v>
      </c>
    </row>
    <row r="130" spans="2:3" x14ac:dyDescent="0.3">
      <c r="B130" s="2">
        <f t="shared" si="1"/>
        <v>6.3999999999999853</v>
      </c>
      <c r="C130" s="2">
        <v>0</v>
      </c>
    </row>
    <row r="131" spans="2:3" x14ac:dyDescent="0.3">
      <c r="B131" s="2">
        <f t="shared" si="1"/>
        <v>6.4499999999999851</v>
      </c>
      <c r="C131" s="2">
        <v>0</v>
      </c>
    </row>
    <row r="132" spans="2:3" x14ac:dyDescent="0.3">
      <c r="B132" s="2">
        <f t="shared" ref="B132:B195" si="2">B131+0.05</f>
        <v>6.4999999999999849</v>
      </c>
      <c r="C132" s="2">
        <v>0</v>
      </c>
    </row>
    <row r="133" spans="2:3" x14ac:dyDescent="0.3">
      <c r="B133" s="2">
        <f t="shared" si="2"/>
        <v>6.5499999999999847</v>
      </c>
      <c r="C133" s="2">
        <v>0</v>
      </c>
    </row>
    <row r="134" spans="2:3" x14ac:dyDescent="0.3">
      <c r="B134" s="2">
        <f t="shared" si="2"/>
        <v>6.5999999999999845</v>
      </c>
      <c r="C134" s="2">
        <v>0</v>
      </c>
    </row>
    <row r="135" spans="2:3" x14ac:dyDescent="0.3">
      <c r="B135" s="2">
        <f t="shared" si="2"/>
        <v>6.6499999999999844</v>
      </c>
      <c r="C135" s="2">
        <v>0</v>
      </c>
    </row>
    <row r="136" spans="2:3" x14ac:dyDescent="0.3">
      <c r="B136" s="2">
        <f t="shared" si="2"/>
        <v>6.6999999999999842</v>
      </c>
      <c r="C136" s="2">
        <v>0</v>
      </c>
    </row>
    <row r="137" spans="2:3" x14ac:dyDescent="0.3">
      <c r="B137" s="2">
        <f t="shared" si="2"/>
        <v>6.749999999999984</v>
      </c>
      <c r="C137" s="2">
        <v>0</v>
      </c>
    </row>
    <row r="138" spans="2:3" x14ac:dyDescent="0.3">
      <c r="B138" s="2">
        <f t="shared" si="2"/>
        <v>6.7999999999999838</v>
      </c>
      <c r="C138" s="2">
        <v>0</v>
      </c>
    </row>
    <row r="139" spans="2:3" x14ac:dyDescent="0.3">
      <c r="B139" s="2">
        <f t="shared" si="2"/>
        <v>6.8499999999999837</v>
      </c>
      <c r="C139" s="2">
        <v>0</v>
      </c>
    </row>
    <row r="140" spans="2:3" x14ac:dyDescent="0.3">
      <c r="B140" s="2">
        <f t="shared" si="2"/>
        <v>6.8999999999999835</v>
      </c>
      <c r="C140" s="2">
        <v>0</v>
      </c>
    </row>
    <row r="141" spans="2:3" x14ac:dyDescent="0.3">
      <c r="B141" s="2">
        <f t="shared" si="2"/>
        <v>6.9499999999999833</v>
      </c>
      <c r="C141" s="2">
        <v>0</v>
      </c>
    </row>
    <row r="142" spans="2:3" x14ac:dyDescent="0.3">
      <c r="B142" s="2">
        <f t="shared" si="2"/>
        <v>6.9999999999999831</v>
      </c>
      <c r="C142" s="2">
        <v>0</v>
      </c>
    </row>
    <row r="143" spans="2:3" x14ac:dyDescent="0.3">
      <c r="B143" s="2">
        <f t="shared" si="2"/>
        <v>7.0499999999999829</v>
      </c>
      <c r="C143" s="2">
        <v>0</v>
      </c>
    </row>
    <row r="144" spans="2:3" x14ac:dyDescent="0.3">
      <c r="B144" s="2">
        <f t="shared" si="2"/>
        <v>7.0999999999999828</v>
      </c>
      <c r="C144" s="2">
        <v>0</v>
      </c>
    </row>
    <row r="145" spans="2:3" x14ac:dyDescent="0.3">
      <c r="B145" s="2">
        <f t="shared" si="2"/>
        <v>7.1499999999999826</v>
      </c>
      <c r="C145" s="2">
        <v>0</v>
      </c>
    </row>
    <row r="146" spans="2:3" x14ac:dyDescent="0.3">
      <c r="B146" s="2">
        <f t="shared" si="2"/>
        <v>7.1999999999999824</v>
      </c>
      <c r="C146" s="2">
        <v>0</v>
      </c>
    </row>
    <row r="147" spans="2:3" x14ac:dyDescent="0.3">
      <c r="B147" s="2">
        <f t="shared" si="2"/>
        <v>7.2499999999999822</v>
      </c>
      <c r="C147" s="2">
        <v>0</v>
      </c>
    </row>
    <row r="148" spans="2:3" x14ac:dyDescent="0.3">
      <c r="B148" s="2">
        <f t="shared" si="2"/>
        <v>7.2999999999999821</v>
      </c>
      <c r="C148" s="2">
        <v>0</v>
      </c>
    </row>
    <row r="149" spans="2:3" x14ac:dyDescent="0.3">
      <c r="B149" s="2">
        <f t="shared" si="2"/>
        <v>7.3499999999999819</v>
      </c>
      <c r="C149" s="2">
        <v>0</v>
      </c>
    </row>
    <row r="150" spans="2:3" x14ac:dyDescent="0.3">
      <c r="B150" s="2">
        <f t="shared" si="2"/>
        <v>7.3999999999999817</v>
      </c>
      <c r="C150" s="2">
        <v>0</v>
      </c>
    </row>
    <row r="151" spans="2:3" x14ac:dyDescent="0.3">
      <c r="B151" s="2">
        <f t="shared" si="2"/>
        <v>7.4499999999999815</v>
      </c>
      <c r="C151" s="2">
        <v>0</v>
      </c>
    </row>
    <row r="152" spans="2:3" x14ac:dyDescent="0.3">
      <c r="B152" s="2">
        <f t="shared" si="2"/>
        <v>7.4999999999999813</v>
      </c>
      <c r="C152" s="2">
        <v>0</v>
      </c>
    </row>
    <row r="153" spans="2:3" x14ac:dyDescent="0.3">
      <c r="B153" s="2">
        <f t="shared" si="2"/>
        <v>7.5499999999999812</v>
      </c>
      <c r="C153" s="2">
        <v>0</v>
      </c>
    </row>
    <row r="154" spans="2:3" x14ac:dyDescent="0.3">
      <c r="B154" s="2">
        <f t="shared" si="2"/>
        <v>7.599999999999981</v>
      </c>
      <c r="C154" s="2">
        <v>0</v>
      </c>
    </row>
    <row r="155" spans="2:3" x14ac:dyDescent="0.3">
      <c r="B155" s="2">
        <f t="shared" si="2"/>
        <v>7.6499999999999808</v>
      </c>
      <c r="C155" s="2">
        <v>0</v>
      </c>
    </row>
    <row r="156" spans="2:3" x14ac:dyDescent="0.3">
      <c r="B156" s="2">
        <f t="shared" si="2"/>
        <v>7.6999999999999806</v>
      </c>
      <c r="C156" s="2">
        <v>0</v>
      </c>
    </row>
    <row r="157" spans="2:3" x14ac:dyDescent="0.3">
      <c r="B157" s="2">
        <f t="shared" si="2"/>
        <v>7.7499999999999805</v>
      </c>
      <c r="C157" s="2">
        <v>0</v>
      </c>
    </row>
    <row r="158" spans="2:3" x14ac:dyDescent="0.3">
      <c r="B158" s="2">
        <f t="shared" si="2"/>
        <v>7.7999999999999803</v>
      </c>
      <c r="C158" s="2">
        <v>0</v>
      </c>
    </row>
    <row r="159" spans="2:3" x14ac:dyDescent="0.3">
      <c r="B159" s="2">
        <f t="shared" si="2"/>
        <v>7.8499999999999801</v>
      </c>
      <c r="C159" s="2">
        <v>0</v>
      </c>
    </row>
    <row r="160" spans="2:3" x14ac:dyDescent="0.3">
      <c r="B160" s="2">
        <f t="shared" si="2"/>
        <v>7.8999999999999799</v>
      </c>
      <c r="C160" s="2">
        <v>0</v>
      </c>
    </row>
    <row r="161" spans="2:3" x14ac:dyDescent="0.3">
      <c r="B161" s="2">
        <f t="shared" si="2"/>
        <v>7.9499999999999797</v>
      </c>
      <c r="C161" s="2">
        <v>0</v>
      </c>
    </row>
    <row r="162" spans="2:3" x14ac:dyDescent="0.3">
      <c r="B162" s="2">
        <f t="shared" si="2"/>
        <v>7.9999999999999796</v>
      </c>
      <c r="C162" s="2">
        <v>0</v>
      </c>
    </row>
    <row r="163" spans="2:3" x14ac:dyDescent="0.3">
      <c r="B163" s="2">
        <f t="shared" si="2"/>
        <v>8.0499999999999794</v>
      </c>
      <c r="C163" s="2">
        <v>0</v>
      </c>
    </row>
    <row r="164" spans="2:3" x14ac:dyDescent="0.3">
      <c r="B164" s="2">
        <f t="shared" si="2"/>
        <v>8.0999999999999801</v>
      </c>
      <c r="C164" s="2">
        <v>0</v>
      </c>
    </row>
    <row r="165" spans="2:3" x14ac:dyDescent="0.3">
      <c r="B165" s="2">
        <f t="shared" si="2"/>
        <v>8.1499999999999808</v>
      </c>
      <c r="C165" s="2">
        <v>0</v>
      </c>
    </row>
    <row r="166" spans="2:3" x14ac:dyDescent="0.3">
      <c r="B166" s="2">
        <f t="shared" si="2"/>
        <v>8.1999999999999815</v>
      </c>
      <c r="C166" s="2">
        <v>0</v>
      </c>
    </row>
    <row r="167" spans="2:3" x14ac:dyDescent="0.3">
      <c r="B167" s="2">
        <f t="shared" si="2"/>
        <v>8.2499999999999822</v>
      </c>
      <c r="C167" s="2">
        <v>0</v>
      </c>
    </row>
    <row r="168" spans="2:3" x14ac:dyDescent="0.3">
      <c r="B168" s="2">
        <f t="shared" si="2"/>
        <v>8.2999999999999829</v>
      </c>
      <c r="C168" s="2">
        <v>0</v>
      </c>
    </row>
    <row r="169" spans="2:3" x14ac:dyDescent="0.3">
      <c r="B169" s="2">
        <f t="shared" si="2"/>
        <v>8.3499999999999837</v>
      </c>
      <c r="C169" s="2">
        <v>0</v>
      </c>
    </row>
    <row r="170" spans="2:3" x14ac:dyDescent="0.3">
      <c r="B170" s="2">
        <f t="shared" si="2"/>
        <v>8.3999999999999844</v>
      </c>
      <c r="C170" s="2">
        <v>0</v>
      </c>
    </row>
    <row r="171" spans="2:3" x14ac:dyDescent="0.3">
      <c r="B171" s="2">
        <f t="shared" si="2"/>
        <v>8.4499999999999851</v>
      </c>
      <c r="C171" s="2">
        <v>0</v>
      </c>
    </row>
    <row r="172" spans="2:3" x14ac:dyDescent="0.3">
      <c r="B172" s="2">
        <f t="shared" si="2"/>
        <v>8.4999999999999858</v>
      </c>
      <c r="C172" s="2">
        <v>0</v>
      </c>
    </row>
    <row r="173" spans="2:3" x14ac:dyDescent="0.3">
      <c r="B173" s="2">
        <f t="shared" si="2"/>
        <v>8.5499999999999865</v>
      </c>
      <c r="C173" s="2">
        <v>0</v>
      </c>
    </row>
    <row r="174" spans="2:3" x14ac:dyDescent="0.3">
      <c r="B174" s="2">
        <f t="shared" si="2"/>
        <v>8.5999999999999872</v>
      </c>
      <c r="C174" s="2">
        <v>0</v>
      </c>
    </row>
    <row r="175" spans="2:3" x14ac:dyDescent="0.3">
      <c r="B175" s="2">
        <f t="shared" si="2"/>
        <v>8.6499999999999879</v>
      </c>
      <c r="C175" s="2">
        <v>0</v>
      </c>
    </row>
    <row r="176" spans="2:3" x14ac:dyDescent="0.3">
      <c r="B176" s="2">
        <f t="shared" si="2"/>
        <v>8.6999999999999886</v>
      </c>
      <c r="C176" s="2">
        <v>0</v>
      </c>
    </row>
    <row r="177" spans="2:3" x14ac:dyDescent="0.3">
      <c r="B177" s="2">
        <f t="shared" si="2"/>
        <v>8.7499999999999893</v>
      </c>
      <c r="C177" s="2">
        <v>0</v>
      </c>
    </row>
    <row r="178" spans="2:3" x14ac:dyDescent="0.3">
      <c r="B178" s="2">
        <f t="shared" si="2"/>
        <v>8.7999999999999901</v>
      </c>
      <c r="C178" s="2">
        <v>0</v>
      </c>
    </row>
    <row r="179" spans="2:3" x14ac:dyDescent="0.3">
      <c r="B179" s="2">
        <f t="shared" si="2"/>
        <v>8.8499999999999908</v>
      </c>
      <c r="C179" s="2">
        <v>0</v>
      </c>
    </row>
    <row r="180" spans="2:3" x14ac:dyDescent="0.3">
      <c r="B180" s="2">
        <f t="shared" si="2"/>
        <v>8.8999999999999915</v>
      </c>
      <c r="C180" s="2">
        <v>0</v>
      </c>
    </row>
    <row r="181" spans="2:3" x14ac:dyDescent="0.3">
      <c r="B181" s="2">
        <f t="shared" si="2"/>
        <v>8.9499999999999922</v>
      </c>
      <c r="C181" s="2">
        <v>0</v>
      </c>
    </row>
    <row r="182" spans="2:3" x14ac:dyDescent="0.3">
      <c r="B182" s="2">
        <f t="shared" si="2"/>
        <v>8.9999999999999929</v>
      </c>
      <c r="C182" s="2">
        <v>0</v>
      </c>
    </row>
    <row r="183" spans="2:3" x14ac:dyDescent="0.3">
      <c r="B183" s="2">
        <f t="shared" si="2"/>
        <v>9.0499999999999936</v>
      </c>
      <c r="C183" s="2">
        <v>0</v>
      </c>
    </row>
    <row r="184" spans="2:3" x14ac:dyDescent="0.3">
      <c r="B184" s="2">
        <f t="shared" si="2"/>
        <v>9.0999999999999943</v>
      </c>
      <c r="C184" s="2">
        <v>0</v>
      </c>
    </row>
    <row r="185" spans="2:3" x14ac:dyDescent="0.3">
      <c r="B185" s="2">
        <f t="shared" si="2"/>
        <v>9.149999999999995</v>
      </c>
      <c r="C185" s="2">
        <v>0</v>
      </c>
    </row>
    <row r="186" spans="2:3" x14ac:dyDescent="0.3">
      <c r="B186" s="2">
        <f t="shared" si="2"/>
        <v>9.1999999999999957</v>
      </c>
      <c r="C186" s="2">
        <v>0</v>
      </c>
    </row>
    <row r="187" spans="2:3" x14ac:dyDescent="0.3">
      <c r="B187" s="2">
        <f t="shared" si="2"/>
        <v>9.2499999999999964</v>
      </c>
      <c r="C187" s="2">
        <v>0</v>
      </c>
    </row>
    <row r="188" spans="2:3" x14ac:dyDescent="0.3">
      <c r="B188" s="2">
        <f t="shared" si="2"/>
        <v>9.2999999999999972</v>
      </c>
      <c r="C188" s="2">
        <v>0</v>
      </c>
    </row>
    <row r="189" spans="2:3" x14ac:dyDescent="0.3">
      <c r="B189" s="2">
        <f t="shared" si="2"/>
        <v>9.3499999999999979</v>
      </c>
      <c r="C189" s="2">
        <v>0</v>
      </c>
    </row>
    <row r="190" spans="2:3" x14ac:dyDescent="0.3">
      <c r="B190" s="2">
        <f t="shared" si="2"/>
        <v>9.3999999999999986</v>
      </c>
      <c r="C190" s="2">
        <v>0</v>
      </c>
    </row>
    <row r="191" spans="2:3" x14ac:dyDescent="0.3">
      <c r="B191" s="2">
        <f t="shared" si="2"/>
        <v>9.4499999999999993</v>
      </c>
      <c r="C191" s="2">
        <v>0</v>
      </c>
    </row>
    <row r="192" spans="2:3" x14ac:dyDescent="0.3">
      <c r="B192" s="2">
        <f t="shared" si="2"/>
        <v>9.5</v>
      </c>
      <c r="C192" s="2">
        <v>0</v>
      </c>
    </row>
    <row r="193" spans="2:3" x14ac:dyDescent="0.3">
      <c r="B193" s="2">
        <f t="shared" si="2"/>
        <v>9.5500000000000007</v>
      </c>
      <c r="C193" s="2">
        <v>0</v>
      </c>
    </row>
    <row r="194" spans="2:3" x14ac:dyDescent="0.3">
      <c r="B194" s="2">
        <f t="shared" si="2"/>
        <v>9.6000000000000014</v>
      </c>
      <c r="C194" s="2">
        <v>0</v>
      </c>
    </row>
    <row r="195" spans="2:3" x14ac:dyDescent="0.3">
      <c r="B195" s="2">
        <f t="shared" si="2"/>
        <v>9.6500000000000021</v>
      </c>
      <c r="C195" s="2">
        <v>0</v>
      </c>
    </row>
    <row r="196" spans="2:3" x14ac:dyDescent="0.3">
      <c r="B196" s="2">
        <f t="shared" ref="B196:B259" si="3">B195+0.05</f>
        <v>9.7000000000000028</v>
      </c>
      <c r="C196" s="2">
        <v>0</v>
      </c>
    </row>
    <row r="197" spans="2:3" x14ac:dyDescent="0.3">
      <c r="B197" s="2">
        <f t="shared" si="3"/>
        <v>9.7500000000000036</v>
      </c>
      <c r="C197" s="2">
        <v>0</v>
      </c>
    </row>
    <row r="198" spans="2:3" x14ac:dyDescent="0.3">
      <c r="B198" s="2">
        <f t="shared" si="3"/>
        <v>9.8000000000000043</v>
      </c>
      <c r="C198" s="2">
        <v>0</v>
      </c>
    </row>
    <row r="199" spans="2:3" x14ac:dyDescent="0.3">
      <c r="B199" s="2">
        <f t="shared" si="3"/>
        <v>9.850000000000005</v>
      </c>
      <c r="C199" s="2">
        <v>0</v>
      </c>
    </row>
    <row r="200" spans="2:3" x14ac:dyDescent="0.3">
      <c r="B200" s="2">
        <f t="shared" si="3"/>
        <v>9.9000000000000057</v>
      </c>
      <c r="C200" s="2">
        <v>0</v>
      </c>
    </row>
    <row r="201" spans="2:3" x14ac:dyDescent="0.3">
      <c r="B201" s="2">
        <f t="shared" si="3"/>
        <v>9.9500000000000064</v>
      </c>
      <c r="C201" s="2">
        <v>0</v>
      </c>
    </row>
    <row r="202" spans="2:3" x14ac:dyDescent="0.3">
      <c r="B202" s="2">
        <f t="shared" si="3"/>
        <v>10.000000000000007</v>
      </c>
      <c r="C202" s="2">
        <v>0</v>
      </c>
    </row>
    <row r="203" spans="2:3" x14ac:dyDescent="0.3">
      <c r="B203" s="2">
        <f t="shared" si="3"/>
        <v>10.050000000000008</v>
      </c>
      <c r="C203" s="2">
        <v>0</v>
      </c>
    </row>
    <row r="204" spans="2:3" x14ac:dyDescent="0.3">
      <c r="B204" s="2">
        <f t="shared" si="3"/>
        <v>10.100000000000009</v>
      </c>
      <c r="C204" s="2">
        <v>0</v>
      </c>
    </row>
    <row r="205" spans="2:3" x14ac:dyDescent="0.3">
      <c r="B205" s="2">
        <f t="shared" si="3"/>
        <v>10.150000000000009</v>
      </c>
      <c r="C205" s="2">
        <v>0</v>
      </c>
    </row>
    <row r="206" spans="2:3" x14ac:dyDescent="0.3">
      <c r="B206" s="2">
        <f t="shared" si="3"/>
        <v>10.20000000000001</v>
      </c>
      <c r="C206" s="2">
        <v>0</v>
      </c>
    </row>
    <row r="207" spans="2:3" x14ac:dyDescent="0.3">
      <c r="B207" s="2">
        <f t="shared" si="3"/>
        <v>10.250000000000011</v>
      </c>
      <c r="C207" s="2">
        <v>0</v>
      </c>
    </row>
    <row r="208" spans="2:3" x14ac:dyDescent="0.3">
      <c r="B208" s="2">
        <f t="shared" si="3"/>
        <v>10.300000000000011</v>
      </c>
      <c r="C208" s="2">
        <v>0</v>
      </c>
    </row>
    <row r="209" spans="2:3" x14ac:dyDescent="0.3">
      <c r="B209" s="2">
        <f t="shared" si="3"/>
        <v>10.350000000000012</v>
      </c>
      <c r="C209" s="2">
        <v>0</v>
      </c>
    </row>
    <row r="210" spans="2:3" x14ac:dyDescent="0.3">
      <c r="B210" s="2">
        <f t="shared" si="3"/>
        <v>10.400000000000013</v>
      </c>
      <c r="C210" s="2">
        <v>0</v>
      </c>
    </row>
    <row r="211" spans="2:3" x14ac:dyDescent="0.3">
      <c r="B211" s="2">
        <f t="shared" si="3"/>
        <v>10.450000000000014</v>
      </c>
      <c r="C211" s="2">
        <v>0</v>
      </c>
    </row>
    <row r="212" spans="2:3" x14ac:dyDescent="0.3">
      <c r="B212" s="2">
        <f t="shared" si="3"/>
        <v>10.500000000000014</v>
      </c>
      <c r="C212" s="2">
        <v>0</v>
      </c>
    </row>
    <row r="213" spans="2:3" x14ac:dyDescent="0.3">
      <c r="B213" s="2">
        <f t="shared" si="3"/>
        <v>10.550000000000015</v>
      </c>
      <c r="C213" s="2">
        <v>0</v>
      </c>
    </row>
    <row r="214" spans="2:3" x14ac:dyDescent="0.3">
      <c r="B214" s="2">
        <f t="shared" si="3"/>
        <v>10.600000000000016</v>
      </c>
      <c r="C214" s="2">
        <v>0</v>
      </c>
    </row>
    <row r="215" spans="2:3" x14ac:dyDescent="0.3">
      <c r="B215" s="2">
        <f t="shared" si="3"/>
        <v>10.650000000000016</v>
      </c>
      <c r="C215" s="2">
        <v>0</v>
      </c>
    </row>
    <row r="216" spans="2:3" x14ac:dyDescent="0.3">
      <c r="B216" s="2">
        <f t="shared" si="3"/>
        <v>10.700000000000017</v>
      </c>
      <c r="C216" s="2">
        <v>0</v>
      </c>
    </row>
    <row r="217" spans="2:3" x14ac:dyDescent="0.3">
      <c r="B217" s="2">
        <f t="shared" si="3"/>
        <v>10.750000000000018</v>
      </c>
      <c r="C217" s="2">
        <v>0</v>
      </c>
    </row>
    <row r="218" spans="2:3" x14ac:dyDescent="0.3">
      <c r="B218" s="2">
        <f t="shared" si="3"/>
        <v>10.800000000000018</v>
      </c>
      <c r="C218" s="2">
        <v>0</v>
      </c>
    </row>
    <row r="219" spans="2:3" x14ac:dyDescent="0.3">
      <c r="B219" s="2">
        <f t="shared" si="3"/>
        <v>10.850000000000019</v>
      </c>
      <c r="C219" s="2">
        <v>0</v>
      </c>
    </row>
    <row r="220" spans="2:3" x14ac:dyDescent="0.3">
      <c r="B220" s="2">
        <f t="shared" si="3"/>
        <v>10.90000000000002</v>
      </c>
      <c r="C220" s="2">
        <v>0</v>
      </c>
    </row>
    <row r="221" spans="2:3" x14ac:dyDescent="0.3">
      <c r="B221" s="2">
        <f t="shared" si="3"/>
        <v>10.950000000000021</v>
      </c>
      <c r="C221" s="2">
        <v>0</v>
      </c>
    </row>
    <row r="222" spans="2:3" x14ac:dyDescent="0.3">
      <c r="B222" s="2">
        <f t="shared" si="3"/>
        <v>11.000000000000021</v>
      </c>
      <c r="C222" s="2">
        <v>0</v>
      </c>
    </row>
    <row r="223" spans="2:3" x14ac:dyDescent="0.3">
      <c r="B223" s="2">
        <f t="shared" si="3"/>
        <v>11.050000000000022</v>
      </c>
      <c r="C223" s="2">
        <v>0</v>
      </c>
    </row>
    <row r="224" spans="2:3" x14ac:dyDescent="0.3">
      <c r="B224" s="2">
        <f t="shared" si="3"/>
        <v>11.100000000000023</v>
      </c>
      <c r="C224" s="2">
        <v>0</v>
      </c>
    </row>
    <row r="225" spans="2:3" x14ac:dyDescent="0.3">
      <c r="B225" s="2">
        <f t="shared" si="3"/>
        <v>11.150000000000023</v>
      </c>
      <c r="C225" s="2">
        <v>0</v>
      </c>
    </row>
    <row r="226" spans="2:3" x14ac:dyDescent="0.3">
      <c r="B226" s="2">
        <f t="shared" si="3"/>
        <v>11.200000000000024</v>
      </c>
      <c r="C226" s="2">
        <v>0</v>
      </c>
    </row>
    <row r="227" spans="2:3" x14ac:dyDescent="0.3">
      <c r="B227" s="2">
        <f t="shared" si="3"/>
        <v>11.250000000000025</v>
      </c>
      <c r="C227" s="2">
        <v>0</v>
      </c>
    </row>
    <row r="228" spans="2:3" x14ac:dyDescent="0.3">
      <c r="B228" s="2">
        <f t="shared" si="3"/>
        <v>11.300000000000026</v>
      </c>
      <c r="C228" s="2">
        <v>0</v>
      </c>
    </row>
    <row r="229" spans="2:3" x14ac:dyDescent="0.3">
      <c r="B229" s="2">
        <f t="shared" si="3"/>
        <v>11.350000000000026</v>
      </c>
      <c r="C229" s="2">
        <v>0</v>
      </c>
    </row>
    <row r="230" spans="2:3" x14ac:dyDescent="0.3">
      <c r="B230" s="2">
        <f t="shared" si="3"/>
        <v>11.400000000000027</v>
      </c>
      <c r="C230" s="2">
        <v>0</v>
      </c>
    </row>
    <row r="231" spans="2:3" x14ac:dyDescent="0.3">
      <c r="B231" s="2">
        <f t="shared" si="3"/>
        <v>11.450000000000028</v>
      </c>
      <c r="C231" s="2">
        <v>0</v>
      </c>
    </row>
    <row r="232" spans="2:3" x14ac:dyDescent="0.3">
      <c r="B232" s="2">
        <f t="shared" si="3"/>
        <v>11.500000000000028</v>
      </c>
      <c r="C232" s="2">
        <v>0</v>
      </c>
    </row>
    <row r="233" spans="2:3" x14ac:dyDescent="0.3">
      <c r="B233" s="2">
        <f t="shared" si="3"/>
        <v>11.550000000000029</v>
      </c>
      <c r="C233" s="2">
        <v>0</v>
      </c>
    </row>
    <row r="234" spans="2:3" x14ac:dyDescent="0.3">
      <c r="B234" s="2">
        <f t="shared" si="3"/>
        <v>11.60000000000003</v>
      </c>
      <c r="C234" s="2">
        <v>0</v>
      </c>
    </row>
    <row r="235" spans="2:3" x14ac:dyDescent="0.3">
      <c r="B235" s="2">
        <f t="shared" si="3"/>
        <v>11.650000000000031</v>
      </c>
      <c r="C235" s="2">
        <v>0</v>
      </c>
    </row>
    <row r="236" spans="2:3" x14ac:dyDescent="0.3">
      <c r="B236" s="2">
        <f t="shared" si="3"/>
        <v>11.700000000000031</v>
      </c>
      <c r="C236" s="2">
        <v>0</v>
      </c>
    </row>
    <row r="237" spans="2:3" x14ac:dyDescent="0.3">
      <c r="B237" s="2">
        <f t="shared" si="3"/>
        <v>11.750000000000032</v>
      </c>
      <c r="C237" s="2">
        <v>0</v>
      </c>
    </row>
    <row r="238" spans="2:3" x14ac:dyDescent="0.3">
      <c r="B238" s="2">
        <f t="shared" si="3"/>
        <v>11.800000000000033</v>
      </c>
      <c r="C238" s="2">
        <v>0</v>
      </c>
    </row>
    <row r="239" spans="2:3" x14ac:dyDescent="0.3">
      <c r="B239" s="2">
        <f t="shared" si="3"/>
        <v>11.850000000000033</v>
      </c>
      <c r="C239" s="2">
        <v>0</v>
      </c>
    </row>
    <row r="240" spans="2:3" x14ac:dyDescent="0.3">
      <c r="B240" s="2">
        <f t="shared" si="3"/>
        <v>11.900000000000034</v>
      </c>
      <c r="C240" s="2">
        <v>0</v>
      </c>
    </row>
    <row r="241" spans="2:3" x14ac:dyDescent="0.3">
      <c r="B241" s="2">
        <f t="shared" si="3"/>
        <v>11.950000000000035</v>
      </c>
      <c r="C241" s="2">
        <v>0</v>
      </c>
    </row>
    <row r="242" spans="2:3" x14ac:dyDescent="0.3">
      <c r="B242" s="2">
        <f t="shared" si="3"/>
        <v>12.000000000000036</v>
      </c>
      <c r="C242" s="2">
        <v>0</v>
      </c>
    </row>
    <row r="243" spans="2:3" x14ac:dyDescent="0.3">
      <c r="B243" s="2">
        <f t="shared" si="3"/>
        <v>12.050000000000036</v>
      </c>
      <c r="C243" s="2">
        <v>0</v>
      </c>
    </row>
    <row r="244" spans="2:3" x14ac:dyDescent="0.3">
      <c r="B244" s="2">
        <f t="shared" si="3"/>
        <v>12.100000000000037</v>
      </c>
      <c r="C244" s="2">
        <v>0</v>
      </c>
    </row>
    <row r="245" spans="2:3" x14ac:dyDescent="0.3">
      <c r="B245" s="2">
        <f t="shared" si="3"/>
        <v>12.150000000000038</v>
      </c>
      <c r="C245" s="2">
        <v>0</v>
      </c>
    </row>
    <row r="246" spans="2:3" x14ac:dyDescent="0.3">
      <c r="B246" s="2">
        <f t="shared" si="3"/>
        <v>12.200000000000038</v>
      </c>
      <c r="C246" s="2">
        <v>0</v>
      </c>
    </row>
    <row r="247" spans="2:3" x14ac:dyDescent="0.3">
      <c r="B247" s="2">
        <f t="shared" si="3"/>
        <v>12.250000000000039</v>
      </c>
      <c r="C247" s="2">
        <v>0</v>
      </c>
    </row>
    <row r="248" spans="2:3" x14ac:dyDescent="0.3">
      <c r="B248" s="2">
        <f t="shared" si="3"/>
        <v>12.30000000000004</v>
      </c>
      <c r="C248" s="2">
        <v>0</v>
      </c>
    </row>
    <row r="249" spans="2:3" x14ac:dyDescent="0.3">
      <c r="B249" s="2">
        <f t="shared" si="3"/>
        <v>12.350000000000041</v>
      </c>
      <c r="C249" s="2">
        <v>0</v>
      </c>
    </row>
    <row r="250" spans="2:3" x14ac:dyDescent="0.3">
      <c r="B250" s="2">
        <f t="shared" si="3"/>
        <v>12.400000000000041</v>
      </c>
      <c r="C250" s="2">
        <v>0</v>
      </c>
    </row>
    <row r="251" spans="2:3" x14ac:dyDescent="0.3">
      <c r="B251" s="2">
        <f t="shared" si="3"/>
        <v>12.450000000000042</v>
      </c>
      <c r="C251" s="2">
        <v>0</v>
      </c>
    </row>
    <row r="252" spans="2:3" x14ac:dyDescent="0.3">
      <c r="B252" s="2">
        <f t="shared" si="3"/>
        <v>12.500000000000043</v>
      </c>
      <c r="C252" s="2">
        <v>0</v>
      </c>
    </row>
    <row r="253" spans="2:3" x14ac:dyDescent="0.3">
      <c r="B253" s="2">
        <f t="shared" si="3"/>
        <v>12.550000000000043</v>
      </c>
      <c r="C253" s="2">
        <v>0</v>
      </c>
    </row>
    <row r="254" spans="2:3" x14ac:dyDescent="0.3">
      <c r="B254" s="2">
        <f t="shared" si="3"/>
        <v>12.600000000000044</v>
      </c>
      <c r="C254" s="2">
        <v>0</v>
      </c>
    </row>
    <row r="255" spans="2:3" x14ac:dyDescent="0.3">
      <c r="B255" s="2">
        <f t="shared" si="3"/>
        <v>12.650000000000045</v>
      </c>
      <c r="C255" s="2">
        <v>0</v>
      </c>
    </row>
    <row r="256" spans="2:3" x14ac:dyDescent="0.3">
      <c r="B256" s="2">
        <f t="shared" si="3"/>
        <v>12.700000000000045</v>
      </c>
      <c r="C256" s="2">
        <v>0</v>
      </c>
    </row>
    <row r="257" spans="2:3" x14ac:dyDescent="0.3">
      <c r="B257" s="2">
        <f t="shared" si="3"/>
        <v>12.750000000000046</v>
      </c>
      <c r="C257" s="2">
        <v>0</v>
      </c>
    </row>
    <row r="258" spans="2:3" x14ac:dyDescent="0.3">
      <c r="B258" s="2">
        <f t="shared" si="3"/>
        <v>12.800000000000047</v>
      </c>
      <c r="C258" s="2">
        <v>0</v>
      </c>
    </row>
    <row r="259" spans="2:3" x14ac:dyDescent="0.3">
      <c r="B259" s="2">
        <f t="shared" si="3"/>
        <v>12.850000000000048</v>
      </c>
      <c r="C259" s="2">
        <v>0</v>
      </c>
    </row>
    <row r="260" spans="2:3" x14ac:dyDescent="0.3">
      <c r="B260" s="2">
        <f t="shared" ref="B260:B323" si="4">B259+0.05</f>
        <v>12.900000000000048</v>
      </c>
      <c r="C260" s="2">
        <v>0</v>
      </c>
    </row>
    <row r="261" spans="2:3" x14ac:dyDescent="0.3">
      <c r="B261" s="2">
        <f t="shared" si="4"/>
        <v>12.950000000000049</v>
      </c>
      <c r="C261" s="2">
        <v>0</v>
      </c>
    </row>
    <row r="262" spans="2:3" x14ac:dyDescent="0.3">
      <c r="B262" s="2">
        <f t="shared" si="4"/>
        <v>13.00000000000005</v>
      </c>
      <c r="C262" s="2">
        <v>0</v>
      </c>
    </row>
    <row r="263" spans="2:3" x14ac:dyDescent="0.3">
      <c r="B263" s="2">
        <f t="shared" si="4"/>
        <v>13.05000000000005</v>
      </c>
      <c r="C263" s="2">
        <v>0</v>
      </c>
    </row>
    <row r="264" spans="2:3" x14ac:dyDescent="0.3">
      <c r="B264" s="2">
        <f t="shared" si="4"/>
        <v>13.100000000000051</v>
      </c>
      <c r="C264" s="2">
        <v>0</v>
      </c>
    </row>
    <row r="265" spans="2:3" x14ac:dyDescent="0.3">
      <c r="B265" s="2">
        <f t="shared" si="4"/>
        <v>13.150000000000052</v>
      </c>
      <c r="C265" s="2">
        <v>0</v>
      </c>
    </row>
    <row r="266" spans="2:3" x14ac:dyDescent="0.3">
      <c r="B266" s="2">
        <f t="shared" si="4"/>
        <v>13.200000000000053</v>
      </c>
      <c r="C266" s="2">
        <v>0</v>
      </c>
    </row>
    <row r="267" spans="2:3" x14ac:dyDescent="0.3">
      <c r="B267" s="2">
        <f t="shared" si="4"/>
        <v>13.250000000000053</v>
      </c>
      <c r="C267" s="2">
        <v>0</v>
      </c>
    </row>
    <row r="268" spans="2:3" x14ac:dyDescent="0.3">
      <c r="B268" s="2">
        <f t="shared" si="4"/>
        <v>13.300000000000054</v>
      </c>
      <c r="C268" s="2">
        <v>0</v>
      </c>
    </row>
    <row r="269" spans="2:3" x14ac:dyDescent="0.3">
      <c r="B269" s="2">
        <f t="shared" si="4"/>
        <v>13.350000000000055</v>
      </c>
      <c r="C269" s="2">
        <v>0</v>
      </c>
    </row>
    <row r="270" spans="2:3" x14ac:dyDescent="0.3">
      <c r="B270" s="2">
        <f t="shared" si="4"/>
        <v>13.400000000000055</v>
      </c>
      <c r="C270" s="2">
        <v>0</v>
      </c>
    </row>
    <row r="271" spans="2:3" x14ac:dyDescent="0.3">
      <c r="B271" s="2">
        <f t="shared" si="4"/>
        <v>13.450000000000056</v>
      </c>
      <c r="C271" s="2">
        <v>0</v>
      </c>
    </row>
    <row r="272" spans="2:3" x14ac:dyDescent="0.3">
      <c r="B272" s="2">
        <f t="shared" si="4"/>
        <v>13.500000000000057</v>
      </c>
      <c r="C272" s="2">
        <v>0</v>
      </c>
    </row>
    <row r="273" spans="2:3" x14ac:dyDescent="0.3">
      <c r="B273" s="2">
        <f t="shared" si="4"/>
        <v>13.550000000000058</v>
      </c>
      <c r="C273" s="2">
        <v>0</v>
      </c>
    </row>
    <row r="274" spans="2:3" x14ac:dyDescent="0.3">
      <c r="B274" s="2">
        <f t="shared" si="4"/>
        <v>13.600000000000058</v>
      </c>
      <c r="C274" s="2">
        <v>0</v>
      </c>
    </row>
    <row r="275" spans="2:3" x14ac:dyDescent="0.3">
      <c r="B275" s="2">
        <f t="shared" si="4"/>
        <v>13.650000000000059</v>
      </c>
      <c r="C275" s="2">
        <v>0</v>
      </c>
    </row>
    <row r="276" spans="2:3" x14ac:dyDescent="0.3">
      <c r="B276" s="2">
        <f t="shared" si="4"/>
        <v>13.70000000000006</v>
      </c>
      <c r="C276" s="2">
        <v>0</v>
      </c>
    </row>
    <row r="277" spans="2:3" x14ac:dyDescent="0.3">
      <c r="B277" s="2">
        <f t="shared" si="4"/>
        <v>13.75000000000006</v>
      </c>
      <c r="C277" s="2">
        <v>0</v>
      </c>
    </row>
    <row r="278" spans="2:3" x14ac:dyDescent="0.3">
      <c r="B278" s="2">
        <f t="shared" si="4"/>
        <v>13.800000000000061</v>
      </c>
      <c r="C278" s="2">
        <v>0</v>
      </c>
    </row>
    <row r="279" spans="2:3" x14ac:dyDescent="0.3">
      <c r="B279" s="2">
        <f t="shared" si="4"/>
        <v>13.850000000000062</v>
      </c>
      <c r="C279" s="2">
        <v>0</v>
      </c>
    </row>
    <row r="280" spans="2:3" x14ac:dyDescent="0.3">
      <c r="B280" s="2">
        <f t="shared" si="4"/>
        <v>13.900000000000063</v>
      </c>
      <c r="C280" s="2">
        <v>0</v>
      </c>
    </row>
    <row r="281" spans="2:3" x14ac:dyDescent="0.3">
      <c r="B281" s="2">
        <f t="shared" si="4"/>
        <v>13.950000000000063</v>
      </c>
      <c r="C281" s="2">
        <v>0</v>
      </c>
    </row>
    <row r="282" spans="2:3" x14ac:dyDescent="0.3">
      <c r="B282" s="2">
        <f t="shared" si="4"/>
        <v>14.000000000000064</v>
      </c>
      <c r="C282" s="2">
        <v>0</v>
      </c>
    </row>
    <row r="283" spans="2:3" x14ac:dyDescent="0.3">
      <c r="B283" s="2">
        <f t="shared" si="4"/>
        <v>14.050000000000065</v>
      </c>
      <c r="C283" s="2">
        <v>0</v>
      </c>
    </row>
    <row r="284" spans="2:3" x14ac:dyDescent="0.3">
      <c r="B284" s="2">
        <f t="shared" si="4"/>
        <v>14.100000000000065</v>
      </c>
      <c r="C284" s="2">
        <v>0</v>
      </c>
    </row>
    <row r="285" spans="2:3" x14ac:dyDescent="0.3">
      <c r="B285" s="2">
        <f t="shared" si="4"/>
        <v>14.150000000000066</v>
      </c>
      <c r="C285" s="2">
        <v>0</v>
      </c>
    </row>
    <row r="286" spans="2:3" x14ac:dyDescent="0.3">
      <c r="B286" s="2">
        <f t="shared" si="4"/>
        <v>14.200000000000067</v>
      </c>
      <c r="C286" s="2">
        <v>0</v>
      </c>
    </row>
    <row r="287" spans="2:3" x14ac:dyDescent="0.3">
      <c r="B287" s="2">
        <f t="shared" si="4"/>
        <v>14.250000000000068</v>
      </c>
      <c r="C287" s="2">
        <v>0</v>
      </c>
    </row>
    <row r="288" spans="2:3" x14ac:dyDescent="0.3">
      <c r="B288" s="2">
        <f t="shared" si="4"/>
        <v>14.300000000000068</v>
      </c>
      <c r="C288" s="2">
        <v>0</v>
      </c>
    </row>
    <row r="289" spans="2:3" x14ac:dyDescent="0.3">
      <c r="B289" s="2">
        <f t="shared" si="4"/>
        <v>14.350000000000069</v>
      </c>
      <c r="C289" s="2">
        <v>0</v>
      </c>
    </row>
    <row r="290" spans="2:3" x14ac:dyDescent="0.3">
      <c r="B290" s="2">
        <f t="shared" si="4"/>
        <v>14.40000000000007</v>
      </c>
      <c r="C290" s="2">
        <v>0</v>
      </c>
    </row>
    <row r="291" spans="2:3" x14ac:dyDescent="0.3">
      <c r="B291" s="2">
        <f t="shared" si="4"/>
        <v>14.45000000000007</v>
      </c>
      <c r="C291" s="2">
        <v>0</v>
      </c>
    </row>
    <row r="292" spans="2:3" x14ac:dyDescent="0.3">
      <c r="B292" s="2">
        <f t="shared" si="4"/>
        <v>14.500000000000071</v>
      </c>
      <c r="C292" s="2">
        <v>0</v>
      </c>
    </row>
    <row r="293" spans="2:3" x14ac:dyDescent="0.3">
      <c r="B293" s="2">
        <f t="shared" si="4"/>
        <v>14.550000000000072</v>
      </c>
      <c r="C293" s="2">
        <v>0</v>
      </c>
    </row>
    <row r="294" spans="2:3" x14ac:dyDescent="0.3">
      <c r="B294" s="2">
        <f t="shared" si="4"/>
        <v>14.600000000000072</v>
      </c>
      <c r="C294" s="2">
        <v>0</v>
      </c>
    </row>
    <row r="295" spans="2:3" x14ac:dyDescent="0.3">
      <c r="B295" s="2">
        <f t="shared" si="4"/>
        <v>14.650000000000073</v>
      </c>
      <c r="C295" s="2">
        <v>0</v>
      </c>
    </row>
    <row r="296" spans="2:3" x14ac:dyDescent="0.3">
      <c r="B296" s="2">
        <f t="shared" si="4"/>
        <v>14.700000000000074</v>
      </c>
      <c r="C296" s="2">
        <v>0</v>
      </c>
    </row>
    <row r="297" spans="2:3" x14ac:dyDescent="0.3">
      <c r="B297" s="2">
        <f t="shared" si="4"/>
        <v>14.750000000000075</v>
      </c>
      <c r="C297" s="2">
        <v>0</v>
      </c>
    </row>
    <row r="298" spans="2:3" x14ac:dyDescent="0.3">
      <c r="B298" s="2">
        <f t="shared" si="4"/>
        <v>14.800000000000075</v>
      </c>
      <c r="C298" s="2">
        <v>0</v>
      </c>
    </row>
    <row r="299" spans="2:3" x14ac:dyDescent="0.3">
      <c r="B299" s="2">
        <f t="shared" si="4"/>
        <v>14.850000000000076</v>
      </c>
      <c r="C299" s="2">
        <v>0</v>
      </c>
    </row>
    <row r="300" spans="2:3" x14ac:dyDescent="0.3">
      <c r="B300" s="2">
        <f t="shared" si="4"/>
        <v>14.900000000000077</v>
      </c>
      <c r="C300" s="2">
        <v>0</v>
      </c>
    </row>
    <row r="301" spans="2:3" x14ac:dyDescent="0.3">
      <c r="B301" s="2">
        <f t="shared" si="4"/>
        <v>14.950000000000077</v>
      </c>
      <c r="C301" s="2">
        <v>0</v>
      </c>
    </row>
    <row r="302" spans="2:3" x14ac:dyDescent="0.3">
      <c r="B302" s="2">
        <f t="shared" si="4"/>
        <v>15.000000000000078</v>
      </c>
      <c r="C302" s="2">
        <v>0</v>
      </c>
    </row>
    <row r="303" spans="2:3" x14ac:dyDescent="0.3">
      <c r="B303" s="2">
        <f t="shared" si="4"/>
        <v>15.050000000000079</v>
      </c>
      <c r="C303" s="2">
        <v>0</v>
      </c>
    </row>
    <row r="304" spans="2:3" x14ac:dyDescent="0.3">
      <c r="B304" s="2">
        <f t="shared" si="4"/>
        <v>15.10000000000008</v>
      </c>
      <c r="C304" s="2">
        <v>0</v>
      </c>
    </row>
    <row r="305" spans="2:3" x14ac:dyDescent="0.3">
      <c r="B305" s="2">
        <f t="shared" si="4"/>
        <v>15.15000000000008</v>
      </c>
      <c r="C305" s="2">
        <v>0</v>
      </c>
    </row>
    <row r="306" spans="2:3" x14ac:dyDescent="0.3">
      <c r="B306" s="2">
        <f t="shared" si="4"/>
        <v>15.200000000000081</v>
      </c>
      <c r="C306" s="2">
        <v>0</v>
      </c>
    </row>
    <row r="307" spans="2:3" x14ac:dyDescent="0.3">
      <c r="B307" s="2">
        <f t="shared" si="4"/>
        <v>15.250000000000082</v>
      </c>
      <c r="C307" s="2">
        <v>0</v>
      </c>
    </row>
    <row r="308" spans="2:3" x14ac:dyDescent="0.3">
      <c r="B308" s="2">
        <f t="shared" si="4"/>
        <v>15.300000000000082</v>
      </c>
      <c r="C308" s="2">
        <v>0</v>
      </c>
    </row>
    <row r="309" spans="2:3" x14ac:dyDescent="0.3">
      <c r="B309" s="2">
        <f t="shared" si="4"/>
        <v>15.350000000000083</v>
      </c>
      <c r="C309" s="2">
        <v>0</v>
      </c>
    </row>
    <row r="310" spans="2:3" x14ac:dyDescent="0.3">
      <c r="B310" s="2">
        <f t="shared" si="4"/>
        <v>15.400000000000084</v>
      </c>
      <c r="C310" s="2">
        <v>0</v>
      </c>
    </row>
    <row r="311" spans="2:3" x14ac:dyDescent="0.3">
      <c r="B311" s="2">
        <f t="shared" si="4"/>
        <v>15.450000000000085</v>
      </c>
      <c r="C311" s="2">
        <v>0</v>
      </c>
    </row>
    <row r="312" spans="2:3" x14ac:dyDescent="0.3">
      <c r="B312" s="2">
        <f t="shared" si="4"/>
        <v>15.500000000000085</v>
      </c>
      <c r="C312" s="2">
        <v>0</v>
      </c>
    </row>
    <row r="313" spans="2:3" x14ac:dyDescent="0.3">
      <c r="B313" s="2">
        <f t="shared" si="4"/>
        <v>15.550000000000086</v>
      </c>
      <c r="C313" s="2">
        <v>0</v>
      </c>
    </row>
    <row r="314" spans="2:3" x14ac:dyDescent="0.3">
      <c r="B314" s="2">
        <f t="shared" si="4"/>
        <v>15.600000000000087</v>
      </c>
      <c r="C314" s="2">
        <v>0</v>
      </c>
    </row>
    <row r="315" spans="2:3" x14ac:dyDescent="0.3">
      <c r="B315" s="2">
        <f t="shared" si="4"/>
        <v>15.650000000000087</v>
      </c>
      <c r="C315" s="2">
        <v>0</v>
      </c>
    </row>
    <row r="316" spans="2:3" x14ac:dyDescent="0.3">
      <c r="B316" s="2">
        <f t="shared" si="4"/>
        <v>15.700000000000088</v>
      </c>
      <c r="C316" s="2">
        <v>0</v>
      </c>
    </row>
    <row r="317" spans="2:3" x14ac:dyDescent="0.3">
      <c r="B317" s="2">
        <f t="shared" si="4"/>
        <v>15.750000000000089</v>
      </c>
      <c r="C317" s="2">
        <v>0</v>
      </c>
    </row>
    <row r="318" spans="2:3" x14ac:dyDescent="0.3">
      <c r="B318" s="2">
        <f t="shared" si="4"/>
        <v>15.80000000000009</v>
      </c>
      <c r="C318" s="2">
        <v>0</v>
      </c>
    </row>
    <row r="319" spans="2:3" x14ac:dyDescent="0.3">
      <c r="B319" s="2">
        <f t="shared" si="4"/>
        <v>15.85000000000009</v>
      </c>
      <c r="C319" s="2">
        <v>0</v>
      </c>
    </row>
    <row r="320" spans="2:3" x14ac:dyDescent="0.3">
      <c r="B320" s="2">
        <f t="shared" si="4"/>
        <v>15.900000000000091</v>
      </c>
      <c r="C320" s="2">
        <v>0</v>
      </c>
    </row>
    <row r="321" spans="2:3" x14ac:dyDescent="0.3">
      <c r="B321" s="2">
        <f t="shared" si="4"/>
        <v>15.950000000000092</v>
      </c>
      <c r="C321" s="2">
        <v>0</v>
      </c>
    </row>
    <row r="322" spans="2:3" x14ac:dyDescent="0.3">
      <c r="B322" s="2">
        <f t="shared" si="4"/>
        <v>16.000000000000092</v>
      </c>
      <c r="C322" s="2">
        <v>0</v>
      </c>
    </row>
    <row r="323" spans="2:3" x14ac:dyDescent="0.3">
      <c r="B323" s="2">
        <f t="shared" si="4"/>
        <v>16.050000000000093</v>
      </c>
      <c r="C323" s="2">
        <v>0</v>
      </c>
    </row>
    <row r="324" spans="2:3" x14ac:dyDescent="0.3">
      <c r="B324" s="2">
        <f t="shared" ref="B324:B387" si="5">B323+0.05</f>
        <v>16.100000000000094</v>
      </c>
      <c r="C324" s="2">
        <v>0</v>
      </c>
    </row>
    <row r="325" spans="2:3" x14ac:dyDescent="0.3">
      <c r="B325" s="2">
        <f t="shared" si="5"/>
        <v>16.150000000000095</v>
      </c>
      <c r="C325" s="2">
        <v>0</v>
      </c>
    </row>
    <row r="326" spans="2:3" x14ac:dyDescent="0.3">
      <c r="B326" s="2">
        <f t="shared" si="5"/>
        <v>16.200000000000095</v>
      </c>
      <c r="C326" s="2">
        <v>0</v>
      </c>
    </row>
    <row r="327" spans="2:3" x14ac:dyDescent="0.3">
      <c r="B327" s="2">
        <f t="shared" si="5"/>
        <v>16.250000000000096</v>
      </c>
      <c r="C327" s="2">
        <v>0</v>
      </c>
    </row>
    <row r="328" spans="2:3" x14ac:dyDescent="0.3">
      <c r="B328" s="2">
        <f t="shared" si="5"/>
        <v>16.300000000000097</v>
      </c>
      <c r="C328" s="2">
        <v>0</v>
      </c>
    </row>
    <row r="329" spans="2:3" x14ac:dyDescent="0.3">
      <c r="B329" s="2">
        <f t="shared" si="5"/>
        <v>16.350000000000097</v>
      </c>
      <c r="C329" s="2">
        <v>0</v>
      </c>
    </row>
    <row r="330" spans="2:3" x14ac:dyDescent="0.3">
      <c r="B330" s="2">
        <f t="shared" si="5"/>
        <v>16.400000000000098</v>
      </c>
      <c r="C330" s="2">
        <v>0</v>
      </c>
    </row>
    <row r="331" spans="2:3" x14ac:dyDescent="0.3">
      <c r="B331" s="2">
        <f t="shared" si="5"/>
        <v>16.450000000000099</v>
      </c>
      <c r="C331" s="2">
        <v>0</v>
      </c>
    </row>
    <row r="332" spans="2:3" x14ac:dyDescent="0.3">
      <c r="B332" s="2">
        <f t="shared" si="5"/>
        <v>16.500000000000099</v>
      </c>
      <c r="C332" s="2">
        <v>0</v>
      </c>
    </row>
    <row r="333" spans="2:3" x14ac:dyDescent="0.3">
      <c r="B333" s="2">
        <f t="shared" si="5"/>
        <v>16.5500000000001</v>
      </c>
      <c r="C333" s="2">
        <v>0</v>
      </c>
    </row>
    <row r="334" spans="2:3" x14ac:dyDescent="0.3">
      <c r="B334" s="2">
        <f t="shared" si="5"/>
        <v>16.600000000000101</v>
      </c>
      <c r="C334" s="2">
        <v>0</v>
      </c>
    </row>
    <row r="335" spans="2:3" x14ac:dyDescent="0.3">
      <c r="B335" s="2">
        <f t="shared" si="5"/>
        <v>16.650000000000102</v>
      </c>
      <c r="C335" s="2">
        <v>0</v>
      </c>
    </row>
    <row r="336" spans="2:3" x14ac:dyDescent="0.3">
      <c r="B336" s="2">
        <f t="shared" si="5"/>
        <v>16.700000000000102</v>
      </c>
      <c r="C336" s="2">
        <v>0</v>
      </c>
    </row>
    <row r="337" spans="2:3" x14ac:dyDescent="0.3">
      <c r="B337" s="2">
        <f t="shared" si="5"/>
        <v>16.750000000000103</v>
      </c>
      <c r="C337" s="2">
        <v>0</v>
      </c>
    </row>
    <row r="338" spans="2:3" x14ac:dyDescent="0.3">
      <c r="B338" s="2">
        <f t="shared" si="5"/>
        <v>16.800000000000104</v>
      </c>
      <c r="C338" s="2">
        <v>0</v>
      </c>
    </row>
    <row r="339" spans="2:3" x14ac:dyDescent="0.3">
      <c r="B339" s="2">
        <f t="shared" si="5"/>
        <v>16.850000000000104</v>
      </c>
      <c r="C339" s="2">
        <v>0</v>
      </c>
    </row>
    <row r="340" spans="2:3" x14ac:dyDescent="0.3">
      <c r="B340" s="2">
        <f t="shared" si="5"/>
        <v>16.900000000000105</v>
      </c>
      <c r="C340" s="2">
        <v>0</v>
      </c>
    </row>
    <row r="341" spans="2:3" x14ac:dyDescent="0.3">
      <c r="B341" s="2">
        <f t="shared" si="5"/>
        <v>16.950000000000106</v>
      </c>
      <c r="C341" s="2">
        <v>0</v>
      </c>
    </row>
    <row r="342" spans="2:3" x14ac:dyDescent="0.3">
      <c r="B342" s="2">
        <f t="shared" si="5"/>
        <v>17.000000000000107</v>
      </c>
      <c r="C342" s="2">
        <v>0</v>
      </c>
    </row>
    <row r="343" spans="2:3" x14ac:dyDescent="0.3">
      <c r="B343" s="2">
        <f t="shared" si="5"/>
        <v>17.050000000000107</v>
      </c>
      <c r="C343" s="2">
        <v>0</v>
      </c>
    </row>
    <row r="344" spans="2:3" x14ac:dyDescent="0.3">
      <c r="B344" s="2">
        <f t="shared" si="5"/>
        <v>17.100000000000108</v>
      </c>
      <c r="C344" s="2">
        <v>0</v>
      </c>
    </row>
    <row r="345" spans="2:3" x14ac:dyDescent="0.3">
      <c r="B345" s="2">
        <f t="shared" si="5"/>
        <v>17.150000000000109</v>
      </c>
      <c r="C345" s="2">
        <v>0</v>
      </c>
    </row>
    <row r="346" spans="2:3" x14ac:dyDescent="0.3">
      <c r="B346" s="2">
        <f t="shared" si="5"/>
        <v>17.200000000000109</v>
      </c>
      <c r="C346" s="2">
        <v>0</v>
      </c>
    </row>
    <row r="347" spans="2:3" x14ac:dyDescent="0.3">
      <c r="B347" s="2">
        <f t="shared" si="5"/>
        <v>17.25000000000011</v>
      </c>
      <c r="C347" s="2">
        <v>0</v>
      </c>
    </row>
    <row r="348" spans="2:3" x14ac:dyDescent="0.3">
      <c r="B348" s="2">
        <f t="shared" si="5"/>
        <v>17.300000000000111</v>
      </c>
      <c r="C348" s="2">
        <v>0</v>
      </c>
    </row>
    <row r="349" spans="2:3" x14ac:dyDescent="0.3">
      <c r="B349" s="2">
        <f t="shared" si="5"/>
        <v>17.350000000000112</v>
      </c>
      <c r="C349" s="2">
        <v>0</v>
      </c>
    </row>
    <row r="350" spans="2:3" x14ac:dyDescent="0.3">
      <c r="B350" s="2">
        <f t="shared" si="5"/>
        <v>17.400000000000112</v>
      </c>
      <c r="C350" s="2">
        <v>0</v>
      </c>
    </row>
    <row r="351" spans="2:3" x14ac:dyDescent="0.3">
      <c r="B351" s="2">
        <f t="shared" si="5"/>
        <v>17.450000000000113</v>
      </c>
      <c r="C351" s="2">
        <v>0</v>
      </c>
    </row>
    <row r="352" spans="2:3" x14ac:dyDescent="0.3">
      <c r="B352" s="2">
        <f t="shared" si="5"/>
        <v>17.500000000000114</v>
      </c>
      <c r="C352" s="2">
        <v>0</v>
      </c>
    </row>
    <row r="353" spans="2:3" x14ac:dyDescent="0.3">
      <c r="B353" s="2">
        <f t="shared" si="5"/>
        <v>17.550000000000114</v>
      </c>
      <c r="C353" s="2">
        <v>0</v>
      </c>
    </row>
    <row r="354" spans="2:3" x14ac:dyDescent="0.3">
      <c r="B354" s="2">
        <f t="shared" si="5"/>
        <v>17.600000000000115</v>
      </c>
      <c r="C354" s="2">
        <v>0</v>
      </c>
    </row>
    <row r="355" spans="2:3" x14ac:dyDescent="0.3">
      <c r="B355" s="2">
        <f t="shared" si="5"/>
        <v>17.650000000000116</v>
      </c>
      <c r="C355" s="2">
        <v>0</v>
      </c>
    </row>
    <row r="356" spans="2:3" x14ac:dyDescent="0.3">
      <c r="B356" s="2">
        <f t="shared" si="5"/>
        <v>17.700000000000117</v>
      </c>
      <c r="C356" s="2">
        <v>0</v>
      </c>
    </row>
    <row r="357" spans="2:3" x14ac:dyDescent="0.3">
      <c r="B357" s="2">
        <f t="shared" si="5"/>
        <v>17.750000000000117</v>
      </c>
      <c r="C357" s="2">
        <v>0</v>
      </c>
    </row>
    <row r="358" spans="2:3" x14ac:dyDescent="0.3">
      <c r="B358" s="2">
        <f t="shared" si="5"/>
        <v>17.800000000000118</v>
      </c>
      <c r="C358" s="2">
        <v>0</v>
      </c>
    </row>
    <row r="359" spans="2:3" x14ac:dyDescent="0.3">
      <c r="B359" s="2">
        <f t="shared" si="5"/>
        <v>17.850000000000119</v>
      </c>
      <c r="C359" s="2">
        <v>0</v>
      </c>
    </row>
    <row r="360" spans="2:3" x14ac:dyDescent="0.3">
      <c r="B360" s="2">
        <f t="shared" si="5"/>
        <v>17.900000000000119</v>
      </c>
      <c r="C360" s="2">
        <v>0</v>
      </c>
    </row>
    <row r="361" spans="2:3" x14ac:dyDescent="0.3">
      <c r="B361" s="2">
        <f t="shared" si="5"/>
        <v>17.95000000000012</v>
      </c>
      <c r="C361" s="2">
        <v>0</v>
      </c>
    </row>
    <row r="362" spans="2:3" x14ac:dyDescent="0.3">
      <c r="B362" s="2">
        <f t="shared" si="5"/>
        <v>18.000000000000121</v>
      </c>
      <c r="C362" s="2">
        <v>0</v>
      </c>
    </row>
    <row r="363" spans="2:3" x14ac:dyDescent="0.3">
      <c r="B363" s="2">
        <f t="shared" si="5"/>
        <v>18.050000000000122</v>
      </c>
      <c r="C363" s="2">
        <v>0</v>
      </c>
    </row>
    <row r="364" spans="2:3" x14ac:dyDescent="0.3">
      <c r="B364" s="2">
        <f t="shared" si="5"/>
        <v>18.100000000000122</v>
      </c>
      <c r="C364" s="2">
        <v>0</v>
      </c>
    </row>
    <row r="365" spans="2:3" x14ac:dyDescent="0.3">
      <c r="B365" s="2">
        <f t="shared" si="5"/>
        <v>18.150000000000123</v>
      </c>
      <c r="C365" s="2">
        <v>0</v>
      </c>
    </row>
    <row r="366" spans="2:3" x14ac:dyDescent="0.3">
      <c r="B366" s="2">
        <f t="shared" si="5"/>
        <v>18.200000000000124</v>
      </c>
      <c r="C366" s="2">
        <v>0</v>
      </c>
    </row>
    <row r="367" spans="2:3" x14ac:dyDescent="0.3">
      <c r="B367" s="2">
        <f t="shared" si="5"/>
        <v>18.250000000000124</v>
      </c>
      <c r="C367" s="2">
        <v>0</v>
      </c>
    </row>
    <row r="368" spans="2:3" x14ac:dyDescent="0.3">
      <c r="B368" s="2">
        <f t="shared" si="5"/>
        <v>18.300000000000125</v>
      </c>
      <c r="C368" s="2">
        <v>0</v>
      </c>
    </row>
    <row r="369" spans="2:3" x14ac:dyDescent="0.3">
      <c r="B369" s="2">
        <f t="shared" si="5"/>
        <v>18.350000000000126</v>
      </c>
      <c r="C369" s="2">
        <v>0</v>
      </c>
    </row>
    <row r="370" spans="2:3" x14ac:dyDescent="0.3">
      <c r="B370" s="2">
        <f t="shared" si="5"/>
        <v>18.400000000000126</v>
      </c>
      <c r="C370" s="2">
        <v>0</v>
      </c>
    </row>
    <row r="371" spans="2:3" x14ac:dyDescent="0.3">
      <c r="B371" s="2">
        <f t="shared" si="5"/>
        <v>18.450000000000127</v>
      </c>
      <c r="C371" s="2">
        <v>0</v>
      </c>
    </row>
    <row r="372" spans="2:3" x14ac:dyDescent="0.3">
      <c r="B372" s="2">
        <f t="shared" si="5"/>
        <v>18.500000000000128</v>
      </c>
      <c r="C372" s="2">
        <v>0</v>
      </c>
    </row>
    <row r="373" spans="2:3" x14ac:dyDescent="0.3">
      <c r="B373" s="2">
        <f t="shared" si="5"/>
        <v>18.550000000000129</v>
      </c>
      <c r="C373" s="2">
        <v>0</v>
      </c>
    </row>
    <row r="374" spans="2:3" x14ac:dyDescent="0.3">
      <c r="B374" s="2">
        <f t="shared" si="5"/>
        <v>18.600000000000129</v>
      </c>
      <c r="C374" s="2">
        <v>0</v>
      </c>
    </row>
    <row r="375" spans="2:3" x14ac:dyDescent="0.3">
      <c r="B375" s="2">
        <f t="shared" si="5"/>
        <v>18.65000000000013</v>
      </c>
      <c r="C375" s="2">
        <v>0</v>
      </c>
    </row>
    <row r="376" spans="2:3" x14ac:dyDescent="0.3">
      <c r="B376" s="2">
        <f t="shared" si="5"/>
        <v>18.700000000000131</v>
      </c>
      <c r="C376" s="2">
        <v>0</v>
      </c>
    </row>
    <row r="377" spans="2:3" x14ac:dyDescent="0.3">
      <c r="B377" s="2">
        <f t="shared" si="5"/>
        <v>18.750000000000131</v>
      </c>
      <c r="C377" s="2">
        <v>0</v>
      </c>
    </row>
    <row r="378" spans="2:3" x14ac:dyDescent="0.3">
      <c r="B378" s="2">
        <f t="shared" si="5"/>
        <v>18.800000000000132</v>
      </c>
      <c r="C378" s="2">
        <v>0</v>
      </c>
    </row>
    <row r="379" spans="2:3" x14ac:dyDescent="0.3">
      <c r="B379" s="2">
        <f t="shared" si="5"/>
        <v>18.850000000000133</v>
      </c>
      <c r="C379" s="2">
        <v>0</v>
      </c>
    </row>
    <row r="380" spans="2:3" x14ac:dyDescent="0.3">
      <c r="B380" s="2">
        <f t="shared" si="5"/>
        <v>18.900000000000134</v>
      </c>
      <c r="C380" s="2">
        <v>0</v>
      </c>
    </row>
    <row r="381" spans="2:3" x14ac:dyDescent="0.3">
      <c r="B381" s="2">
        <f t="shared" si="5"/>
        <v>18.950000000000134</v>
      </c>
      <c r="C381" s="2">
        <v>0</v>
      </c>
    </row>
    <row r="382" spans="2:3" x14ac:dyDescent="0.3">
      <c r="B382" s="2">
        <f t="shared" si="5"/>
        <v>19.000000000000135</v>
      </c>
      <c r="C382" s="2">
        <v>0</v>
      </c>
    </row>
    <row r="383" spans="2:3" x14ac:dyDescent="0.3">
      <c r="B383" s="2">
        <f t="shared" si="5"/>
        <v>19.050000000000136</v>
      </c>
      <c r="C383" s="2">
        <v>0</v>
      </c>
    </row>
    <row r="384" spans="2:3" x14ac:dyDescent="0.3">
      <c r="B384" s="2">
        <f t="shared" si="5"/>
        <v>19.100000000000136</v>
      </c>
      <c r="C384" s="2">
        <v>0</v>
      </c>
    </row>
    <row r="385" spans="2:3" x14ac:dyDescent="0.3">
      <c r="B385" s="2">
        <f t="shared" si="5"/>
        <v>19.150000000000137</v>
      </c>
      <c r="C385" s="2">
        <v>0</v>
      </c>
    </row>
    <row r="386" spans="2:3" x14ac:dyDescent="0.3">
      <c r="B386" s="2">
        <f t="shared" si="5"/>
        <v>19.200000000000138</v>
      </c>
      <c r="C386" s="2">
        <v>0</v>
      </c>
    </row>
    <row r="387" spans="2:3" x14ac:dyDescent="0.3">
      <c r="B387" s="2">
        <f t="shared" si="5"/>
        <v>19.250000000000139</v>
      </c>
      <c r="C387" s="2">
        <v>0</v>
      </c>
    </row>
    <row r="388" spans="2:3" x14ac:dyDescent="0.3">
      <c r="B388" s="2">
        <f t="shared" ref="B388:B402" si="6">B387+0.05</f>
        <v>19.300000000000139</v>
      </c>
      <c r="C388" s="2">
        <v>0</v>
      </c>
    </row>
    <row r="389" spans="2:3" x14ac:dyDescent="0.3">
      <c r="B389" s="2">
        <f t="shared" si="6"/>
        <v>19.35000000000014</v>
      </c>
      <c r="C389" s="2">
        <v>0</v>
      </c>
    </row>
    <row r="390" spans="2:3" x14ac:dyDescent="0.3">
      <c r="B390" s="2">
        <f t="shared" si="6"/>
        <v>19.400000000000141</v>
      </c>
      <c r="C390" s="2">
        <v>0</v>
      </c>
    </row>
    <row r="391" spans="2:3" x14ac:dyDescent="0.3">
      <c r="B391" s="2">
        <f t="shared" si="6"/>
        <v>19.450000000000141</v>
      </c>
      <c r="C391" s="2">
        <v>0</v>
      </c>
    </row>
    <row r="392" spans="2:3" x14ac:dyDescent="0.3">
      <c r="B392" s="2">
        <f t="shared" si="6"/>
        <v>19.500000000000142</v>
      </c>
      <c r="C392" s="2">
        <v>0</v>
      </c>
    </row>
    <row r="393" spans="2:3" x14ac:dyDescent="0.3">
      <c r="B393" s="2">
        <f t="shared" si="6"/>
        <v>19.550000000000143</v>
      </c>
      <c r="C393" s="2">
        <v>0</v>
      </c>
    </row>
    <row r="394" spans="2:3" x14ac:dyDescent="0.3">
      <c r="B394" s="2">
        <f t="shared" si="6"/>
        <v>19.600000000000144</v>
      </c>
      <c r="C394" s="2">
        <v>0</v>
      </c>
    </row>
    <row r="395" spans="2:3" x14ac:dyDescent="0.3">
      <c r="B395" s="2">
        <f t="shared" si="6"/>
        <v>19.650000000000144</v>
      </c>
      <c r="C395" s="2">
        <v>0</v>
      </c>
    </row>
    <row r="396" spans="2:3" x14ac:dyDescent="0.3">
      <c r="B396" s="2">
        <f t="shared" si="6"/>
        <v>19.700000000000145</v>
      </c>
      <c r="C396" s="2">
        <v>0</v>
      </c>
    </row>
    <row r="397" spans="2:3" x14ac:dyDescent="0.3">
      <c r="B397" s="2">
        <f t="shared" si="6"/>
        <v>19.750000000000146</v>
      </c>
      <c r="C397" s="2">
        <v>0</v>
      </c>
    </row>
    <row r="398" spans="2:3" x14ac:dyDescent="0.3">
      <c r="B398" s="2">
        <f t="shared" si="6"/>
        <v>19.800000000000146</v>
      </c>
      <c r="C398" s="2">
        <v>0</v>
      </c>
    </row>
    <row r="399" spans="2:3" x14ac:dyDescent="0.3">
      <c r="B399" s="2">
        <f t="shared" si="6"/>
        <v>19.850000000000147</v>
      </c>
      <c r="C399" s="2">
        <v>0</v>
      </c>
    </row>
    <row r="400" spans="2:3" x14ac:dyDescent="0.3">
      <c r="B400" s="2">
        <f t="shared" si="6"/>
        <v>19.900000000000148</v>
      </c>
      <c r="C400" s="2">
        <v>0</v>
      </c>
    </row>
    <row r="401" spans="2:3" x14ac:dyDescent="0.3">
      <c r="B401" s="2">
        <f t="shared" si="6"/>
        <v>19.950000000000149</v>
      </c>
      <c r="C401" s="2">
        <v>0</v>
      </c>
    </row>
    <row r="402" spans="2:3" x14ac:dyDescent="0.3">
      <c r="B402" s="2">
        <f t="shared" si="6"/>
        <v>20.000000000000149</v>
      </c>
      <c r="C402" s="2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CEFC1-A843-431C-9724-0E303CE97E79}">
  <dimension ref="A1:F402"/>
  <sheetViews>
    <sheetView tabSelected="1" zoomScale="76" workbookViewId="0">
      <selection activeCell="D158" sqref="D158"/>
    </sheetView>
  </sheetViews>
  <sheetFormatPr defaultRowHeight="14.4" x14ac:dyDescent="0.3"/>
  <cols>
    <col min="1" max="1" width="18.21875" customWidth="1"/>
    <col min="2" max="2" width="9" bestFit="1" customWidth="1"/>
    <col min="6" max="6" width="11.77734375" customWidth="1"/>
  </cols>
  <sheetData>
    <row r="1" spans="1:6" x14ac:dyDescent="0.3">
      <c r="A1" s="12" t="s">
        <v>11</v>
      </c>
      <c r="B1" s="2" t="s">
        <v>8</v>
      </c>
      <c r="C1" s="2" t="s">
        <v>7</v>
      </c>
      <c r="E1" s="18" t="s">
        <v>16</v>
      </c>
      <c r="F1" s="10"/>
    </row>
    <row r="2" spans="1:6" x14ac:dyDescent="0.3">
      <c r="A2" t="s">
        <v>9</v>
      </c>
      <c r="B2" s="2">
        <v>0</v>
      </c>
      <c r="C2" s="2">
        <v>0</v>
      </c>
    </row>
    <row r="3" spans="1:6" x14ac:dyDescent="0.3">
      <c r="A3" s="10" t="s">
        <v>12</v>
      </c>
      <c r="B3" s="2">
        <f>B2+0.05</f>
        <v>0.05</v>
      </c>
      <c r="C3" s="2">
        <v>0</v>
      </c>
    </row>
    <row r="4" spans="1:6" x14ac:dyDescent="0.3">
      <c r="A4" s="10" t="s">
        <v>13</v>
      </c>
      <c r="B4" s="2">
        <f t="shared" ref="B4:B67" si="0">B3+0.05</f>
        <v>0.1</v>
      </c>
      <c r="C4" s="2">
        <v>0</v>
      </c>
    </row>
    <row r="5" spans="1:6" x14ac:dyDescent="0.3">
      <c r="A5" s="10" t="s">
        <v>14</v>
      </c>
      <c r="B5" s="2">
        <f t="shared" si="0"/>
        <v>0.15000000000000002</v>
      </c>
      <c r="C5" s="2">
        <v>0</v>
      </c>
    </row>
    <row r="6" spans="1:6" x14ac:dyDescent="0.3">
      <c r="B6" s="2">
        <f t="shared" si="0"/>
        <v>0.2</v>
      </c>
      <c r="C6" s="2">
        <v>0</v>
      </c>
    </row>
    <row r="7" spans="1:6" x14ac:dyDescent="0.3">
      <c r="B7" s="2">
        <f t="shared" si="0"/>
        <v>0.25</v>
      </c>
      <c r="C7" s="2">
        <v>0</v>
      </c>
    </row>
    <row r="8" spans="1:6" x14ac:dyDescent="0.3">
      <c r="B8" s="2">
        <f t="shared" si="0"/>
        <v>0.3</v>
      </c>
      <c r="C8" s="2">
        <v>0</v>
      </c>
    </row>
    <row r="9" spans="1:6" x14ac:dyDescent="0.3">
      <c r="B9" s="2">
        <f t="shared" si="0"/>
        <v>0.35</v>
      </c>
      <c r="C9" s="2">
        <v>0</v>
      </c>
    </row>
    <row r="10" spans="1:6" x14ac:dyDescent="0.3">
      <c r="B10" s="2">
        <f t="shared" si="0"/>
        <v>0.39999999999999997</v>
      </c>
      <c r="C10" s="2">
        <v>0</v>
      </c>
    </row>
    <row r="11" spans="1:6" x14ac:dyDescent="0.3">
      <c r="B11" s="2">
        <f t="shared" si="0"/>
        <v>0.44999999999999996</v>
      </c>
      <c r="C11" s="2">
        <v>0</v>
      </c>
    </row>
    <row r="12" spans="1:6" x14ac:dyDescent="0.3">
      <c r="B12" s="2">
        <f t="shared" si="0"/>
        <v>0.49999999999999994</v>
      </c>
      <c r="C12" s="2">
        <v>0</v>
      </c>
    </row>
    <row r="13" spans="1:6" x14ac:dyDescent="0.3">
      <c r="B13" s="2">
        <f t="shared" si="0"/>
        <v>0.54999999999999993</v>
      </c>
      <c r="C13" s="2">
        <v>0</v>
      </c>
    </row>
    <row r="14" spans="1:6" x14ac:dyDescent="0.3">
      <c r="B14" s="2">
        <f t="shared" si="0"/>
        <v>0.6</v>
      </c>
      <c r="C14" s="2">
        <v>0</v>
      </c>
    </row>
    <row r="15" spans="1:6" x14ac:dyDescent="0.3">
      <c r="B15" s="2">
        <f t="shared" si="0"/>
        <v>0.65</v>
      </c>
      <c r="C15" s="2">
        <v>0</v>
      </c>
    </row>
    <row r="16" spans="1:6" x14ac:dyDescent="0.3">
      <c r="B16" s="2">
        <f t="shared" si="0"/>
        <v>0.70000000000000007</v>
      </c>
      <c r="C16" s="2">
        <v>0</v>
      </c>
    </row>
    <row r="17" spans="2:3" x14ac:dyDescent="0.3">
      <c r="B17" s="2">
        <f t="shared" si="0"/>
        <v>0.75000000000000011</v>
      </c>
      <c r="C17" s="2">
        <v>0</v>
      </c>
    </row>
    <row r="18" spans="2:3" x14ac:dyDescent="0.3">
      <c r="B18" s="2">
        <f t="shared" si="0"/>
        <v>0.80000000000000016</v>
      </c>
      <c r="C18" s="2">
        <v>0</v>
      </c>
    </row>
    <row r="19" spans="2:3" x14ac:dyDescent="0.3">
      <c r="B19" s="2">
        <f t="shared" si="0"/>
        <v>0.8500000000000002</v>
      </c>
      <c r="C19" s="2">
        <v>0</v>
      </c>
    </row>
    <row r="20" spans="2:3" x14ac:dyDescent="0.3">
      <c r="B20" s="2">
        <f t="shared" si="0"/>
        <v>0.90000000000000024</v>
      </c>
      <c r="C20" s="2">
        <v>0</v>
      </c>
    </row>
    <row r="21" spans="2:3" x14ac:dyDescent="0.3">
      <c r="B21" s="2">
        <f t="shared" si="0"/>
        <v>0.95000000000000029</v>
      </c>
      <c r="C21" s="2">
        <v>0</v>
      </c>
    </row>
    <row r="22" spans="2:3" x14ac:dyDescent="0.3">
      <c r="B22" s="2">
        <f t="shared" si="0"/>
        <v>1.0000000000000002</v>
      </c>
      <c r="C22" s="2">
        <v>0</v>
      </c>
    </row>
    <row r="23" spans="2:3" x14ac:dyDescent="0.3">
      <c r="B23" s="2">
        <f t="shared" si="0"/>
        <v>1.0500000000000003</v>
      </c>
      <c r="C23" s="2">
        <v>0</v>
      </c>
    </row>
    <row r="24" spans="2:3" x14ac:dyDescent="0.3">
      <c r="B24" s="2">
        <f t="shared" si="0"/>
        <v>1.1000000000000003</v>
      </c>
      <c r="C24" s="2">
        <v>0</v>
      </c>
    </row>
    <row r="25" spans="2:3" x14ac:dyDescent="0.3">
      <c r="B25" s="2">
        <f t="shared" si="0"/>
        <v>1.1500000000000004</v>
      </c>
      <c r="C25" s="2">
        <v>0</v>
      </c>
    </row>
    <row r="26" spans="2:3" x14ac:dyDescent="0.3">
      <c r="B26" s="2">
        <f t="shared" si="0"/>
        <v>1.2000000000000004</v>
      </c>
      <c r="C26" s="2">
        <v>0</v>
      </c>
    </row>
    <row r="27" spans="2:3" x14ac:dyDescent="0.3">
      <c r="B27" s="2">
        <f t="shared" si="0"/>
        <v>1.2500000000000004</v>
      </c>
      <c r="C27" s="2">
        <v>0</v>
      </c>
    </row>
    <row r="28" spans="2:3" x14ac:dyDescent="0.3">
      <c r="B28" s="2">
        <f t="shared" si="0"/>
        <v>1.3000000000000005</v>
      </c>
      <c r="C28" s="2">
        <v>0</v>
      </c>
    </row>
    <row r="29" spans="2:3" x14ac:dyDescent="0.3">
      <c r="B29" s="2">
        <f t="shared" si="0"/>
        <v>1.3500000000000005</v>
      </c>
      <c r="C29" s="2">
        <v>0</v>
      </c>
    </row>
    <row r="30" spans="2:3" x14ac:dyDescent="0.3">
      <c r="B30" s="2">
        <f t="shared" si="0"/>
        <v>1.4000000000000006</v>
      </c>
      <c r="C30" s="2">
        <v>0</v>
      </c>
    </row>
    <row r="31" spans="2:3" x14ac:dyDescent="0.3">
      <c r="B31" s="2">
        <f t="shared" si="0"/>
        <v>1.4500000000000006</v>
      </c>
      <c r="C31" s="2">
        <v>0</v>
      </c>
    </row>
    <row r="32" spans="2:3" x14ac:dyDescent="0.3">
      <c r="B32" s="2">
        <f t="shared" si="0"/>
        <v>1.5000000000000007</v>
      </c>
      <c r="C32" s="2">
        <v>0</v>
      </c>
    </row>
    <row r="33" spans="2:3" x14ac:dyDescent="0.3">
      <c r="B33" s="2">
        <f t="shared" si="0"/>
        <v>1.5500000000000007</v>
      </c>
      <c r="C33" s="2">
        <v>0</v>
      </c>
    </row>
    <row r="34" spans="2:3" x14ac:dyDescent="0.3">
      <c r="B34" s="2">
        <f t="shared" si="0"/>
        <v>1.6000000000000008</v>
      </c>
      <c r="C34" s="2">
        <v>0</v>
      </c>
    </row>
    <row r="35" spans="2:3" x14ac:dyDescent="0.3">
      <c r="B35" s="2">
        <f t="shared" si="0"/>
        <v>1.6500000000000008</v>
      </c>
      <c r="C35" s="2">
        <v>0</v>
      </c>
    </row>
    <row r="36" spans="2:3" x14ac:dyDescent="0.3">
      <c r="B36" s="2">
        <f t="shared" si="0"/>
        <v>1.7000000000000008</v>
      </c>
      <c r="C36" s="2">
        <v>0</v>
      </c>
    </row>
    <row r="37" spans="2:3" x14ac:dyDescent="0.3">
      <c r="B37" s="2">
        <f t="shared" si="0"/>
        <v>1.7500000000000009</v>
      </c>
      <c r="C37" s="2">
        <v>0</v>
      </c>
    </row>
    <row r="38" spans="2:3" x14ac:dyDescent="0.3">
      <c r="B38" s="2">
        <f t="shared" si="0"/>
        <v>1.8000000000000009</v>
      </c>
      <c r="C38" s="2">
        <v>0</v>
      </c>
    </row>
    <row r="39" spans="2:3" x14ac:dyDescent="0.3">
      <c r="B39" s="2">
        <f t="shared" si="0"/>
        <v>1.850000000000001</v>
      </c>
      <c r="C39" s="2">
        <v>0</v>
      </c>
    </row>
    <row r="40" spans="2:3" x14ac:dyDescent="0.3">
      <c r="B40" s="2">
        <f t="shared" si="0"/>
        <v>1.900000000000001</v>
      </c>
      <c r="C40" s="2">
        <v>0</v>
      </c>
    </row>
    <row r="41" spans="2:3" x14ac:dyDescent="0.3">
      <c r="B41" s="2">
        <f t="shared" si="0"/>
        <v>1.9500000000000011</v>
      </c>
      <c r="C41" s="2">
        <v>0</v>
      </c>
    </row>
    <row r="42" spans="2:3" x14ac:dyDescent="0.3">
      <c r="B42" s="2">
        <f t="shared" si="0"/>
        <v>2.0000000000000009</v>
      </c>
      <c r="C42" s="2">
        <v>0</v>
      </c>
    </row>
    <row r="43" spans="2:3" x14ac:dyDescent="0.3">
      <c r="B43" s="2">
        <f t="shared" si="0"/>
        <v>2.0500000000000007</v>
      </c>
      <c r="C43" s="2">
        <v>0</v>
      </c>
    </row>
    <row r="44" spans="2:3" x14ac:dyDescent="0.3">
      <c r="B44" s="2">
        <f t="shared" si="0"/>
        <v>2.1000000000000005</v>
      </c>
      <c r="C44" s="2">
        <v>0</v>
      </c>
    </row>
    <row r="45" spans="2:3" x14ac:dyDescent="0.3">
      <c r="B45" s="2">
        <f t="shared" si="0"/>
        <v>2.1500000000000004</v>
      </c>
      <c r="C45" s="2">
        <v>0</v>
      </c>
    </row>
    <row r="46" spans="2:3" x14ac:dyDescent="0.3">
      <c r="B46" s="2">
        <f t="shared" si="0"/>
        <v>2.2000000000000002</v>
      </c>
      <c r="C46" s="2">
        <v>0</v>
      </c>
    </row>
    <row r="47" spans="2:3" x14ac:dyDescent="0.3">
      <c r="B47" s="2">
        <f t="shared" si="0"/>
        <v>2.25</v>
      </c>
      <c r="C47" s="2">
        <v>0</v>
      </c>
    </row>
    <row r="48" spans="2:3" x14ac:dyDescent="0.3">
      <c r="B48" s="2">
        <f t="shared" si="0"/>
        <v>2.2999999999999998</v>
      </c>
      <c r="C48" s="2">
        <v>0</v>
      </c>
    </row>
    <row r="49" spans="2:3" x14ac:dyDescent="0.3">
      <c r="B49" s="2">
        <f t="shared" si="0"/>
        <v>2.3499999999999996</v>
      </c>
      <c r="C49" s="2">
        <v>0</v>
      </c>
    </row>
    <row r="50" spans="2:3" x14ac:dyDescent="0.3">
      <c r="B50" s="2">
        <f t="shared" si="0"/>
        <v>2.3999999999999995</v>
      </c>
      <c r="C50" s="2">
        <v>0</v>
      </c>
    </row>
    <row r="51" spans="2:3" x14ac:dyDescent="0.3">
      <c r="B51" s="2">
        <f t="shared" si="0"/>
        <v>2.4499999999999993</v>
      </c>
      <c r="C51" s="2">
        <v>0</v>
      </c>
    </row>
    <row r="52" spans="2:3" x14ac:dyDescent="0.3">
      <c r="B52" s="2">
        <f t="shared" si="0"/>
        <v>2.4999999999999991</v>
      </c>
      <c r="C52" s="2">
        <v>0</v>
      </c>
    </row>
    <row r="53" spans="2:3" x14ac:dyDescent="0.3">
      <c r="B53" s="2">
        <f t="shared" si="0"/>
        <v>2.5499999999999989</v>
      </c>
      <c r="C53" s="2">
        <v>0</v>
      </c>
    </row>
    <row r="54" spans="2:3" x14ac:dyDescent="0.3">
      <c r="B54" s="2">
        <f t="shared" si="0"/>
        <v>2.5999999999999988</v>
      </c>
      <c r="C54" s="2">
        <v>0</v>
      </c>
    </row>
    <row r="55" spans="2:3" x14ac:dyDescent="0.3">
      <c r="B55" s="2">
        <f t="shared" si="0"/>
        <v>2.6499999999999986</v>
      </c>
      <c r="C55" s="2">
        <v>0</v>
      </c>
    </row>
    <row r="56" spans="2:3" x14ac:dyDescent="0.3">
      <c r="B56" s="2">
        <f t="shared" si="0"/>
        <v>2.6999999999999984</v>
      </c>
      <c r="C56" s="2">
        <v>0</v>
      </c>
    </row>
    <row r="57" spans="2:3" x14ac:dyDescent="0.3">
      <c r="B57" s="2">
        <f t="shared" si="0"/>
        <v>2.7499999999999982</v>
      </c>
      <c r="C57" s="2">
        <v>0</v>
      </c>
    </row>
    <row r="58" spans="2:3" x14ac:dyDescent="0.3">
      <c r="B58" s="2">
        <f t="shared" si="0"/>
        <v>2.799999999999998</v>
      </c>
      <c r="C58" s="2">
        <v>0</v>
      </c>
    </row>
    <row r="59" spans="2:3" x14ac:dyDescent="0.3">
      <c r="B59" s="2">
        <f t="shared" si="0"/>
        <v>2.8499999999999979</v>
      </c>
      <c r="C59" s="2">
        <v>0</v>
      </c>
    </row>
    <row r="60" spans="2:3" x14ac:dyDescent="0.3">
      <c r="B60" s="2">
        <f t="shared" si="0"/>
        <v>2.8999999999999977</v>
      </c>
      <c r="C60" s="2">
        <v>0</v>
      </c>
    </row>
    <row r="61" spans="2:3" x14ac:dyDescent="0.3">
      <c r="B61" s="2">
        <f t="shared" si="0"/>
        <v>2.9499999999999975</v>
      </c>
      <c r="C61" s="2">
        <v>0</v>
      </c>
    </row>
    <row r="62" spans="2:3" x14ac:dyDescent="0.3">
      <c r="B62" s="2">
        <f t="shared" si="0"/>
        <v>2.9999999999999973</v>
      </c>
      <c r="C62" s="2">
        <v>0</v>
      </c>
    </row>
    <row r="63" spans="2:3" x14ac:dyDescent="0.3">
      <c r="B63" s="2">
        <f t="shared" si="0"/>
        <v>3.0499999999999972</v>
      </c>
      <c r="C63" s="2">
        <v>0</v>
      </c>
    </row>
    <row r="64" spans="2:3" x14ac:dyDescent="0.3">
      <c r="B64" s="2">
        <f t="shared" si="0"/>
        <v>3.099999999999997</v>
      </c>
      <c r="C64" s="2">
        <v>0</v>
      </c>
    </row>
    <row r="65" spans="2:3" x14ac:dyDescent="0.3">
      <c r="B65" s="2">
        <f t="shared" si="0"/>
        <v>3.1499999999999968</v>
      </c>
      <c r="C65" s="2">
        <v>0</v>
      </c>
    </row>
    <row r="66" spans="2:3" x14ac:dyDescent="0.3">
      <c r="B66" s="2">
        <f t="shared" si="0"/>
        <v>3.1999999999999966</v>
      </c>
      <c r="C66" s="2">
        <v>0</v>
      </c>
    </row>
    <row r="67" spans="2:3" x14ac:dyDescent="0.3">
      <c r="B67" s="2">
        <f t="shared" si="0"/>
        <v>3.2499999999999964</v>
      </c>
      <c r="C67" s="2">
        <v>0</v>
      </c>
    </row>
    <row r="68" spans="2:3" x14ac:dyDescent="0.3">
      <c r="B68" s="2">
        <f t="shared" ref="B68:B131" si="1">B67+0.05</f>
        <v>3.2999999999999963</v>
      </c>
      <c r="C68" s="2">
        <v>0</v>
      </c>
    </row>
    <row r="69" spans="2:3" x14ac:dyDescent="0.3">
      <c r="B69" s="2">
        <f t="shared" si="1"/>
        <v>3.3499999999999961</v>
      </c>
      <c r="C69" s="2">
        <v>0</v>
      </c>
    </row>
    <row r="70" spans="2:3" x14ac:dyDescent="0.3">
      <c r="B70" s="2">
        <f t="shared" si="1"/>
        <v>3.3999999999999959</v>
      </c>
      <c r="C70" s="2">
        <v>0</v>
      </c>
    </row>
    <row r="71" spans="2:3" x14ac:dyDescent="0.3">
      <c r="B71" s="2">
        <f t="shared" si="1"/>
        <v>3.4499999999999957</v>
      </c>
      <c r="C71" s="2">
        <v>0</v>
      </c>
    </row>
    <row r="72" spans="2:3" x14ac:dyDescent="0.3">
      <c r="B72" s="2">
        <f t="shared" si="1"/>
        <v>3.4999999999999956</v>
      </c>
      <c r="C72" s="2">
        <v>0</v>
      </c>
    </row>
    <row r="73" spans="2:3" x14ac:dyDescent="0.3">
      <c r="B73" s="2">
        <f t="shared" si="1"/>
        <v>3.5499999999999954</v>
      </c>
      <c r="C73" s="2">
        <v>0</v>
      </c>
    </row>
    <row r="74" spans="2:3" x14ac:dyDescent="0.3">
      <c r="B74" s="2">
        <f t="shared" si="1"/>
        <v>3.5999999999999952</v>
      </c>
      <c r="C74" s="2">
        <v>0</v>
      </c>
    </row>
    <row r="75" spans="2:3" x14ac:dyDescent="0.3">
      <c r="B75" s="2">
        <f t="shared" si="1"/>
        <v>3.649999999999995</v>
      </c>
      <c r="C75" s="2">
        <v>0</v>
      </c>
    </row>
    <row r="76" spans="2:3" x14ac:dyDescent="0.3">
      <c r="B76" s="2">
        <f t="shared" si="1"/>
        <v>3.6999999999999948</v>
      </c>
      <c r="C76" s="2">
        <v>0</v>
      </c>
    </row>
    <row r="77" spans="2:3" x14ac:dyDescent="0.3">
      <c r="B77" s="2">
        <f t="shared" si="1"/>
        <v>3.7499999999999947</v>
      </c>
      <c r="C77" s="2">
        <v>0</v>
      </c>
    </row>
    <row r="78" spans="2:3" x14ac:dyDescent="0.3">
      <c r="B78" s="2">
        <f t="shared" si="1"/>
        <v>3.7999999999999945</v>
      </c>
      <c r="C78" s="2">
        <v>0</v>
      </c>
    </row>
    <row r="79" spans="2:3" x14ac:dyDescent="0.3">
      <c r="B79" s="2">
        <f t="shared" si="1"/>
        <v>3.8499999999999943</v>
      </c>
      <c r="C79" s="2">
        <v>0</v>
      </c>
    </row>
    <row r="80" spans="2:3" x14ac:dyDescent="0.3">
      <c r="B80" s="2">
        <f t="shared" si="1"/>
        <v>3.8999999999999941</v>
      </c>
      <c r="C80" s="2">
        <v>0</v>
      </c>
    </row>
    <row r="81" spans="2:3" x14ac:dyDescent="0.3">
      <c r="B81" s="2">
        <f t="shared" si="1"/>
        <v>3.949999999999994</v>
      </c>
      <c r="C81" s="2">
        <v>0</v>
      </c>
    </row>
    <row r="82" spans="2:3" x14ac:dyDescent="0.3">
      <c r="B82" s="2">
        <f t="shared" si="1"/>
        <v>3.9999999999999938</v>
      </c>
      <c r="C82" s="2">
        <v>0</v>
      </c>
    </row>
    <row r="83" spans="2:3" x14ac:dyDescent="0.3">
      <c r="B83" s="2">
        <f t="shared" si="1"/>
        <v>4.0499999999999936</v>
      </c>
      <c r="C83" s="2">
        <v>0</v>
      </c>
    </row>
    <row r="84" spans="2:3" x14ac:dyDescent="0.3">
      <c r="B84" s="2">
        <f t="shared" si="1"/>
        <v>4.0999999999999934</v>
      </c>
      <c r="C84" s="2">
        <v>0</v>
      </c>
    </row>
    <row r="85" spans="2:3" x14ac:dyDescent="0.3">
      <c r="B85" s="2">
        <f t="shared" si="1"/>
        <v>4.1499999999999932</v>
      </c>
      <c r="C85" s="2">
        <v>0</v>
      </c>
    </row>
    <row r="86" spans="2:3" x14ac:dyDescent="0.3">
      <c r="B86" s="2">
        <f t="shared" si="1"/>
        <v>4.1999999999999931</v>
      </c>
      <c r="C86" s="2">
        <v>0</v>
      </c>
    </row>
    <row r="87" spans="2:3" x14ac:dyDescent="0.3">
      <c r="B87" s="2">
        <f t="shared" si="1"/>
        <v>4.2499999999999929</v>
      </c>
      <c r="C87" s="2">
        <v>0</v>
      </c>
    </row>
    <row r="88" spans="2:3" x14ac:dyDescent="0.3">
      <c r="B88" s="2">
        <f t="shared" si="1"/>
        <v>4.2999999999999927</v>
      </c>
      <c r="C88" s="2">
        <v>0</v>
      </c>
    </row>
    <row r="89" spans="2:3" x14ac:dyDescent="0.3">
      <c r="B89" s="2">
        <f t="shared" si="1"/>
        <v>4.3499999999999925</v>
      </c>
      <c r="C89" s="2">
        <v>0</v>
      </c>
    </row>
    <row r="90" spans="2:3" x14ac:dyDescent="0.3">
      <c r="B90" s="2">
        <f t="shared" si="1"/>
        <v>4.3999999999999924</v>
      </c>
      <c r="C90" s="2">
        <v>0</v>
      </c>
    </row>
    <row r="91" spans="2:3" x14ac:dyDescent="0.3">
      <c r="B91" s="2">
        <f t="shared" si="1"/>
        <v>4.4499999999999922</v>
      </c>
      <c r="C91" s="2">
        <v>0</v>
      </c>
    </row>
    <row r="92" spans="2:3" x14ac:dyDescent="0.3">
      <c r="B92" s="2">
        <f t="shared" si="1"/>
        <v>4.499999999999992</v>
      </c>
      <c r="C92" s="2">
        <v>0</v>
      </c>
    </row>
    <row r="93" spans="2:3" x14ac:dyDescent="0.3">
      <c r="B93" s="2">
        <f t="shared" si="1"/>
        <v>4.5499999999999918</v>
      </c>
      <c r="C93" s="2">
        <v>0</v>
      </c>
    </row>
    <row r="94" spans="2:3" x14ac:dyDescent="0.3">
      <c r="B94" s="2">
        <f t="shared" si="1"/>
        <v>4.5999999999999917</v>
      </c>
      <c r="C94" s="2">
        <v>0</v>
      </c>
    </row>
    <row r="95" spans="2:3" x14ac:dyDescent="0.3">
      <c r="B95" s="2">
        <f t="shared" si="1"/>
        <v>4.6499999999999915</v>
      </c>
      <c r="C95" s="2">
        <v>0</v>
      </c>
    </row>
    <row r="96" spans="2:3" x14ac:dyDescent="0.3">
      <c r="B96" s="2">
        <f t="shared" si="1"/>
        <v>4.6999999999999913</v>
      </c>
      <c r="C96" s="2">
        <v>0</v>
      </c>
    </row>
    <row r="97" spans="2:3" x14ac:dyDescent="0.3">
      <c r="B97" s="2">
        <f t="shared" si="1"/>
        <v>4.7499999999999911</v>
      </c>
      <c r="C97" s="2">
        <v>0</v>
      </c>
    </row>
    <row r="98" spans="2:3" x14ac:dyDescent="0.3">
      <c r="B98" s="2">
        <f t="shared" si="1"/>
        <v>4.7999999999999909</v>
      </c>
      <c r="C98" s="2">
        <v>0</v>
      </c>
    </row>
    <row r="99" spans="2:3" x14ac:dyDescent="0.3">
      <c r="B99" s="2">
        <f t="shared" si="1"/>
        <v>4.8499999999999908</v>
      </c>
      <c r="C99" s="2">
        <v>0</v>
      </c>
    </row>
    <row r="100" spans="2:3" x14ac:dyDescent="0.3">
      <c r="B100" s="2">
        <f t="shared" si="1"/>
        <v>4.8999999999999906</v>
      </c>
      <c r="C100" s="2">
        <v>0</v>
      </c>
    </row>
    <row r="101" spans="2:3" x14ac:dyDescent="0.3">
      <c r="B101" s="2">
        <f t="shared" si="1"/>
        <v>4.9499999999999904</v>
      </c>
      <c r="C101" s="2">
        <v>0</v>
      </c>
    </row>
    <row r="102" spans="2:3" x14ac:dyDescent="0.3">
      <c r="B102" s="2">
        <f t="shared" si="1"/>
        <v>4.9999999999999902</v>
      </c>
      <c r="C102" s="2">
        <v>0</v>
      </c>
    </row>
    <row r="103" spans="2:3" x14ac:dyDescent="0.3">
      <c r="B103" s="2">
        <f t="shared" si="1"/>
        <v>5.0499999999999901</v>
      </c>
      <c r="C103" s="2">
        <v>0</v>
      </c>
    </row>
    <row r="104" spans="2:3" x14ac:dyDescent="0.3">
      <c r="B104" s="2">
        <f t="shared" si="1"/>
        <v>5.0999999999999899</v>
      </c>
      <c r="C104" s="2">
        <v>0</v>
      </c>
    </row>
    <row r="105" spans="2:3" x14ac:dyDescent="0.3">
      <c r="B105" s="2">
        <f t="shared" si="1"/>
        <v>5.1499999999999897</v>
      </c>
      <c r="C105" s="2">
        <v>0</v>
      </c>
    </row>
    <row r="106" spans="2:3" x14ac:dyDescent="0.3">
      <c r="B106" s="2">
        <f t="shared" si="1"/>
        <v>5.1999999999999895</v>
      </c>
      <c r="C106" s="2">
        <v>0</v>
      </c>
    </row>
    <row r="107" spans="2:3" x14ac:dyDescent="0.3">
      <c r="B107" s="2">
        <f t="shared" si="1"/>
        <v>5.2499999999999893</v>
      </c>
      <c r="C107" s="2">
        <v>0</v>
      </c>
    </row>
    <row r="108" spans="2:3" x14ac:dyDescent="0.3">
      <c r="B108" s="2">
        <f t="shared" si="1"/>
        <v>5.2999999999999892</v>
      </c>
      <c r="C108" s="2">
        <v>0</v>
      </c>
    </row>
    <row r="109" spans="2:3" x14ac:dyDescent="0.3">
      <c r="B109" s="2">
        <f t="shared" si="1"/>
        <v>5.349999999999989</v>
      </c>
      <c r="C109" s="2">
        <v>0</v>
      </c>
    </row>
    <row r="110" spans="2:3" x14ac:dyDescent="0.3">
      <c r="B110" s="2">
        <f t="shared" si="1"/>
        <v>5.3999999999999888</v>
      </c>
      <c r="C110" s="2">
        <v>0</v>
      </c>
    </row>
    <row r="111" spans="2:3" x14ac:dyDescent="0.3">
      <c r="B111" s="2">
        <f t="shared" si="1"/>
        <v>5.4499999999999886</v>
      </c>
      <c r="C111" s="2">
        <v>0</v>
      </c>
    </row>
    <row r="112" spans="2:3" x14ac:dyDescent="0.3">
      <c r="B112" s="2">
        <f t="shared" si="1"/>
        <v>5.4999999999999885</v>
      </c>
      <c r="C112" s="2">
        <v>0</v>
      </c>
    </row>
    <row r="113" spans="2:3" x14ac:dyDescent="0.3">
      <c r="B113" s="2">
        <f t="shared" si="1"/>
        <v>5.5499999999999883</v>
      </c>
      <c r="C113" s="2">
        <v>0</v>
      </c>
    </row>
    <row r="114" spans="2:3" x14ac:dyDescent="0.3">
      <c r="B114" s="2">
        <f t="shared" si="1"/>
        <v>5.5999999999999881</v>
      </c>
      <c r="C114" s="2">
        <v>0</v>
      </c>
    </row>
    <row r="115" spans="2:3" x14ac:dyDescent="0.3">
      <c r="B115" s="2">
        <f t="shared" si="1"/>
        <v>5.6499999999999879</v>
      </c>
      <c r="C115" s="2">
        <v>0</v>
      </c>
    </row>
    <row r="116" spans="2:3" x14ac:dyDescent="0.3">
      <c r="B116" s="2">
        <f t="shared" si="1"/>
        <v>5.6999999999999877</v>
      </c>
      <c r="C116" s="2">
        <v>0</v>
      </c>
    </row>
    <row r="117" spans="2:3" x14ac:dyDescent="0.3">
      <c r="B117" s="2">
        <f t="shared" si="1"/>
        <v>5.7499999999999876</v>
      </c>
      <c r="C117" s="2">
        <v>0</v>
      </c>
    </row>
    <row r="118" spans="2:3" x14ac:dyDescent="0.3">
      <c r="B118" s="2">
        <f t="shared" si="1"/>
        <v>5.7999999999999874</v>
      </c>
      <c r="C118" s="2">
        <v>0</v>
      </c>
    </row>
    <row r="119" spans="2:3" x14ac:dyDescent="0.3">
      <c r="B119" s="2">
        <f t="shared" si="1"/>
        <v>5.8499999999999872</v>
      </c>
      <c r="C119" s="2">
        <v>0</v>
      </c>
    </row>
    <row r="120" spans="2:3" x14ac:dyDescent="0.3">
      <c r="B120" s="2">
        <f t="shared" si="1"/>
        <v>5.899999999999987</v>
      </c>
      <c r="C120" s="2">
        <v>0</v>
      </c>
    </row>
    <row r="121" spans="2:3" x14ac:dyDescent="0.3">
      <c r="B121" s="2">
        <f t="shared" si="1"/>
        <v>5.9499999999999869</v>
      </c>
      <c r="C121" s="2">
        <v>0</v>
      </c>
    </row>
    <row r="122" spans="2:3" x14ac:dyDescent="0.3">
      <c r="B122" s="2">
        <f t="shared" si="1"/>
        <v>5.9999999999999867</v>
      </c>
      <c r="C122" s="2">
        <v>0</v>
      </c>
    </row>
    <row r="123" spans="2:3" x14ac:dyDescent="0.3">
      <c r="B123" s="2">
        <f t="shared" si="1"/>
        <v>6.0499999999999865</v>
      </c>
      <c r="C123" s="2">
        <v>0</v>
      </c>
    </row>
    <row r="124" spans="2:3" x14ac:dyDescent="0.3">
      <c r="B124" s="2">
        <f t="shared" si="1"/>
        <v>6.0999999999999863</v>
      </c>
      <c r="C124" s="2">
        <v>0</v>
      </c>
    </row>
    <row r="125" spans="2:3" x14ac:dyDescent="0.3">
      <c r="B125" s="2">
        <f t="shared" si="1"/>
        <v>6.1499999999999861</v>
      </c>
      <c r="C125" s="2">
        <v>0</v>
      </c>
    </row>
    <row r="126" spans="2:3" x14ac:dyDescent="0.3">
      <c r="B126" s="2">
        <f t="shared" si="1"/>
        <v>6.199999999999986</v>
      </c>
      <c r="C126" s="2">
        <v>0</v>
      </c>
    </row>
    <row r="127" spans="2:3" x14ac:dyDescent="0.3">
      <c r="B127" s="2">
        <f t="shared" si="1"/>
        <v>6.2499999999999858</v>
      </c>
      <c r="C127" s="2">
        <v>0</v>
      </c>
    </row>
    <row r="128" spans="2:3" x14ac:dyDescent="0.3">
      <c r="B128" s="2">
        <f t="shared" si="1"/>
        <v>6.2999999999999856</v>
      </c>
      <c r="C128" s="2">
        <v>0</v>
      </c>
    </row>
    <row r="129" spans="2:3" x14ac:dyDescent="0.3">
      <c r="B129" s="2">
        <f t="shared" si="1"/>
        <v>6.3499999999999854</v>
      </c>
      <c r="C129" s="2">
        <v>0</v>
      </c>
    </row>
    <row r="130" spans="2:3" x14ac:dyDescent="0.3">
      <c r="B130" s="2">
        <f t="shared" si="1"/>
        <v>6.3999999999999853</v>
      </c>
      <c r="C130" s="2">
        <v>0</v>
      </c>
    </row>
    <row r="131" spans="2:3" x14ac:dyDescent="0.3">
      <c r="B131" s="2">
        <f t="shared" si="1"/>
        <v>6.4499999999999851</v>
      </c>
      <c r="C131" s="2">
        <v>0</v>
      </c>
    </row>
    <row r="132" spans="2:3" x14ac:dyDescent="0.3">
      <c r="B132" s="2">
        <f t="shared" ref="B132:B195" si="2">B131+0.05</f>
        <v>6.4999999999999849</v>
      </c>
      <c r="C132" s="2">
        <v>0</v>
      </c>
    </row>
    <row r="133" spans="2:3" x14ac:dyDescent="0.3">
      <c r="B133" s="2">
        <f t="shared" si="2"/>
        <v>6.5499999999999847</v>
      </c>
      <c r="C133" s="2">
        <v>0</v>
      </c>
    </row>
    <row r="134" spans="2:3" x14ac:dyDescent="0.3">
      <c r="B134" s="2">
        <f t="shared" si="2"/>
        <v>6.5999999999999845</v>
      </c>
      <c r="C134" s="2">
        <v>0</v>
      </c>
    </row>
    <row r="135" spans="2:3" x14ac:dyDescent="0.3">
      <c r="B135" s="2">
        <f t="shared" si="2"/>
        <v>6.6499999999999844</v>
      </c>
      <c r="C135" s="2">
        <v>0</v>
      </c>
    </row>
    <row r="136" spans="2:3" x14ac:dyDescent="0.3">
      <c r="B136" s="2">
        <f t="shared" si="2"/>
        <v>6.6999999999999842</v>
      </c>
      <c r="C136" s="2">
        <v>0</v>
      </c>
    </row>
    <row r="137" spans="2:3" x14ac:dyDescent="0.3">
      <c r="B137" s="2">
        <f t="shared" si="2"/>
        <v>6.749999999999984</v>
      </c>
      <c r="C137" s="2">
        <v>0</v>
      </c>
    </row>
    <row r="138" spans="2:3" x14ac:dyDescent="0.3">
      <c r="B138" s="2">
        <f t="shared" si="2"/>
        <v>6.7999999999999838</v>
      </c>
      <c r="C138" s="2">
        <v>0</v>
      </c>
    </row>
    <row r="139" spans="2:3" x14ac:dyDescent="0.3">
      <c r="B139" s="2">
        <f t="shared" si="2"/>
        <v>6.8499999999999837</v>
      </c>
      <c r="C139" s="2">
        <v>0</v>
      </c>
    </row>
    <row r="140" spans="2:3" x14ac:dyDescent="0.3">
      <c r="B140" s="2">
        <f t="shared" si="2"/>
        <v>6.8999999999999835</v>
      </c>
      <c r="C140" s="2">
        <v>0</v>
      </c>
    </row>
    <row r="141" spans="2:3" x14ac:dyDescent="0.3">
      <c r="B141" s="2">
        <f t="shared" si="2"/>
        <v>6.9499999999999833</v>
      </c>
      <c r="C141" s="2">
        <v>0</v>
      </c>
    </row>
    <row r="142" spans="2:3" x14ac:dyDescent="0.3">
      <c r="B142" s="2">
        <f t="shared" si="2"/>
        <v>6.9999999999999831</v>
      </c>
      <c r="C142" s="2">
        <v>0</v>
      </c>
    </row>
    <row r="143" spans="2:3" x14ac:dyDescent="0.3">
      <c r="B143" s="2">
        <f t="shared" si="2"/>
        <v>7.0499999999999829</v>
      </c>
      <c r="C143" s="2">
        <v>0</v>
      </c>
    </row>
    <row r="144" spans="2:3" x14ac:dyDescent="0.3">
      <c r="B144" s="2">
        <f t="shared" si="2"/>
        <v>7.0999999999999828</v>
      </c>
      <c r="C144" s="2">
        <v>0</v>
      </c>
    </row>
    <row r="145" spans="2:3" x14ac:dyDescent="0.3">
      <c r="B145" s="2">
        <f t="shared" si="2"/>
        <v>7.1499999999999826</v>
      </c>
      <c r="C145" s="2">
        <v>0</v>
      </c>
    </row>
    <row r="146" spans="2:3" x14ac:dyDescent="0.3">
      <c r="B146" s="2">
        <f t="shared" si="2"/>
        <v>7.1999999999999824</v>
      </c>
      <c r="C146" s="2">
        <v>0</v>
      </c>
    </row>
    <row r="147" spans="2:3" x14ac:dyDescent="0.3">
      <c r="B147" s="2">
        <f t="shared" si="2"/>
        <v>7.2499999999999822</v>
      </c>
      <c r="C147" s="2">
        <v>0</v>
      </c>
    </row>
    <row r="148" spans="2:3" x14ac:dyDescent="0.3">
      <c r="B148" s="2">
        <f t="shared" si="2"/>
        <v>7.2999999999999821</v>
      </c>
      <c r="C148" s="2">
        <v>0</v>
      </c>
    </row>
    <row r="149" spans="2:3" x14ac:dyDescent="0.3">
      <c r="B149" s="2">
        <f t="shared" si="2"/>
        <v>7.3499999999999819</v>
      </c>
      <c r="C149" s="2">
        <v>0</v>
      </c>
    </row>
    <row r="150" spans="2:3" x14ac:dyDescent="0.3">
      <c r="B150" s="2">
        <f t="shared" si="2"/>
        <v>7.3999999999999817</v>
      </c>
      <c r="C150" s="2">
        <v>0</v>
      </c>
    </row>
    <row r="151" spans="2:3" x14ac:dyDescent="0.3">
      <c r="B151" s="2">
        <f t="shared" si="2"/>
        <v>7.4499999999999815</v>
      </c>
      <c r="C151" s="2">
        <v>0</v>
      </c>
    </row>
    <row r="152" spans="2:3" x14ac:dyDescent="0.3">
      <c r="B152" s="2">
        <f t="shared" si="2"/>
        <v>7.4999999999999813</v>
      </c>
      <c r="C152" s="2">
        <v>0</v>
      </c>
    </row>
    <row r="153" spans="2:3" x14ac:dyDescent="0.3">
      <c r="B153" s="2">
        <f t="shared" si="2"/>
        <v>7.5499999999999812</v>
      </c>
      <c r="C153" s="2">
        <v>0</v>
      </c>
    </row>
    <row r="154" spans="2:3" x14ac:dyDescent="0.3">
      <c r="B154" s="2">
        <f t="shared" si="2"/>
        <v>7.599999999999981</v>
      </c>
      <c r="C154" s="2">
        <v>0</v>
      </c>
    </row>
    <row r="155" spans="2:3" x14ac:dyDescent="0.3">
      <c r="B155" s="2">
        <f t="shared" si="2"/>
        <v>7.6499999999999808</v>
      </c>
      <c r="C155" s="2">
        <v>0</v>
      </c>
    </row>
    <row r="156" spans="2:3" x14ac:dyDescent="0.3">
      <c r="B156" s="2">
        <f t="shared" si="2"/>
        <v>7.6999999999999806</v>
      </c>
      <c r="C156" s="2">
        <v>0</v>
      </c>
    </row>
    <row r="157" spans="2:3" x14ac:dyDescent="0.3">
      <c r="B157" s="2">
        <f t="shared" si="2"/>
        <v>7.7499999999999805</v>
      </c>
      <c r="C157" s="2">
        <v>0</v>
      </c>
    </row>
    <row r="158" spans="2:3" x14ac:dyDescent="0.3">
      <c r="B158" s="2">
        <f t="shared" si="2"/>
        <v>7.7999999999999803</v>
      </c>
      <c r="C158" s="2">
        <v>0</v>
      </c>
    </row>
    <row r="159" spans="2:3" x14ac:dyDescent="0.3">
      <c r="B159" s="2">
        <f t="shared" si="2"/>
        <v>7.8499999999999801</v>
      </c>
      <c r="C159" s="2">
        <v>0</v>
      </c>
    </row>
    <row r="160" spans="2:3" x14ac:dyDescent="0.3">
      <c r="B160" s="2">
        <f t="shared" si="2"/>
        <v>7.8999999999999799</v>
      </c>
      <c r="C160" s="2">
        <v>0</v>
      </c>
    </row>
    <row r="161" spans="2:3" x14ac:dyDescent="0.3">
      <c r="B161" s="2">
        <f t="shared" si="2"/>
        <v>7.9499999999999797</v>
      </c>
      <c r="C161" s="2">
        <v>0</v>
      </c>
    </row>
    <row r="162" spans="2:3" x14ac:dyDescent="0.3">
      <c r="B162" s="2">
        <f t="shared" si="2"/>
        <v>7.9999999999999796</v>
      </c>
      <c r="C162" s="2">
        <v>0</v>
      </c>
    </row>
    <row r="163" spans="2:3" x14ac:dyDescent="0.3">
      <c r="B163" s="2">
        <f t="shared" si="2"/>
        <v>8.0499999999999794</v>
      </c>
      <c r="C163" s="2">
        <v>0</v>
      </c>
    </row>
    <row r="164" spans="2:3" x14ac:dyDescent="0.3">
      <c r="B164" s="2">
        <f t="shared" si="2"/>
        <v>8.0999999999999801</v>
      </c>
      <c r="C164" s="2">
        <v>0</v>
      </c>
    </row>
    <row r="165" spans="2:3" x14ac:dyDescent="0.3">
      <c r="B165" s="2">
        <f t="shared" si="2"/>
        <v>8.1499999999999808</v>
      </c>
      <c r="C165" s="2">
        <v>0</v>
      </c>
    </row>
    <row r="166" spans="2:3" x14ac:dyDescent="0.3">
      <c r="B166" s="2">
        <f t="shared" si="2"/>
        <v>8.1999999999999815</v>
      </c>
      <c r="C166" s="2">
        <v>0</v>
      </c>
    </row>
    <row r="167" spans="2:3" x14ac:dyDescent="0.3">
      <c r="B167" s="2">
        <f t="shared" si="2"/>
        <v>8.2499999999999822</v>
      </c>
      <c r="C167" s="2">
        <v>0</v>
      </c>
    </row>
    <row r="168" spans="2:3" x14ac:dyDescent="0.3">
      <c r="B168" s="2">
        <f t="shared" si="2"/>
        <v>8.2999999999999829</v>
      </c>
      <c r="C168" s="2">
        <v>0</v>
      </c>
    </row>
    <row r="169" spans="2:3" x14ac:dyDescent="0.3">
      <c r="B169" s="2">
        <f t="shared" si="2"/>
        <v>8.3499999999999837</v>
      </c>
      <c r="C169" s="2">
        <v>0</v>
      </c>
    </row>
    <row r="170" spans="2:3" x14ac:dyDescent="0.3">
      <c r="B170" s="2">
        <f t="shared" si="2"/>
        <v>8.3999999999999844</v>
      </c>
      <c r="C170" s="2">
        <v>0</v>
      </c>
    </row>
    <row r="171" spans="2:3" x14ac:dyDescent="0.3">
      <c r="B171" s="2">
        <f t="shared" si="2"/>
        <v>8.4499999999999851</v>
      </c>
      <c r="C171" s="2">
        <v>0</v>
      </c>
    </row>
    <row r="172" spans="2:3" x14ac:dyDescent="0.3">
      <c r="B172" s="2">
        <f t="shared" si="2"/>
        <v>8.4999999999999858</v>
      </c>
      <c r="C172" s="2">
        <v>0</v>
      </c>
    </row>
    <row r="173" spans="2:3" x14ac:dyDescent="0.3">
      <c r="B173" s="2">
        <f t="shared" si="2"/>
        <v>8.5499999999999865</v>
      </c>
      <c r="C173" s="2">
        <v>0</v>
      </c>
    </row>
    <row r="174" spans="2:3" x14ac:dyDescent="0.3">
      <c r="B174" s="2">
        <f t="shared" si="2"/>
        <v>8.5999999999999872</v>
      </c>
      <c r="C174" s="2">
        <v>0</v>
      </c>
    </row>
    <row r="175" spans="2:3" x14ac:dyDescent="0.3">
      <c r="B175" s="2">
        <f t="shared" si="2"/>
        <v>8.6499999999999879</v>
      </c>
      <c r="C175" s="2">
        <v>0</v>
      </c>
    </row>
    <row r="176" spans="2:3" x14ac:dyDescent="0.3">
      <c r="B176" s="2">
        <f t="shared" si="2"/>
        <v>8.6999999999999886</v>
      </c>
      <c r="C176" s="2">
        <v>0</v>
      </c>
    </row>
    <row r="177" spans="2:3" x14ac:dyDescent="0.3">
      <c r="B177" s="2">
        <f t="shared" si="2"/>
        <v>8.7499999999999893</v>
      </c>
      <c r="C177" s="2">
        <v>0</v>
      </c>
    </row>
    <row r="178" spans="2:3" x14ac:dyDescent="0.3">
      <c r="B178" s="2">
        <f t="shared" si="2"/>
        <v>8.7999999999999901</v>
      </c>
      <c r="C178" s="2">
        <v>0</v>
      </c>
    </row>
    <row r="179" spans="2:3" x14ac:dyDescent="0.3">
      <c r="B179" s="2">
        <f t="shared" si="2"/>
        <v>8.8499999999999908</v>
      </c>
      <c r="C179" s="2">
        <v>0</v>
      </c>
    </row>
    <row r="180" spans="2:3" x14ac:dyDescent="0.3">
      <c r="B180" s="2">
        <f t="shared" si="2"/>
        <v>8.8999999999999915</v>
      </c>
      <c r="C180" s="2">
        <v>0</v>
      </c>
    </row>
    <row r="181" spans="2:3" x14ac:dyDescent="0.3">
      <c r="B181" s="2">
        <f t="shared" si="2"/>
        <v>8.9499999999999922</v>
      </c>
      <c r="C181" s="2">
        <v>0</v>
      </c>
    </row>
    <row r="182" spans="2:3" x14ac:dyDescent="0.3">
      <c r="B182" s="2">
        <f t="shared" si="2"/>
        <v>8.9999999999999929</v>
      </c>
      <c r="C182" s="2">
        <v>0</v>
      </c>
    </row>
    <row r="183" spans="2:3" x14ac:dyDescent="0.3">
      <c r="B183" s="2">
        <f t="shared" si="2"/>
        <v>9.0499999999999936</v>
      </c>
      <c r="C183" s="2">
        <v>0</v>
      </c>
    </row>
    <row r="184" spans="2:3" x14ac:dyDescent="0.3">
      <c r="B184" s="2">
        <f t="shared" si="2"/>
        <v>9.0999999999999943</v>
      </c>
      <c r="C184" s="2">
        <v>0</v>
      </c>
    </row>
    <row r="185" spans="2:3" x14ac:dyDescent="0.3">
      <c r="B185" s="2">
        <f t="shared" si="2"/>
        <v>9.149999999999995</v>
      </c>
      <c r="C185" s="2">
        <v>0</v>
      </c>
    </row>
    <row r="186" spans="2:3" x14ac:dyDescent="0.3">
      <c r="B186" s="2">
        <f t="shared" si="2"/>
        <v>9.1999999999999957</v>
      </c>
      <c r="C186" s="2">
        <v>0</v>
      </c>
    </row>
    <row r="187" spans="2:3" x14ac:dyDescent="0.3">
      <c r="B187" s="2">
        <f t="shared" si="2"/>
        <v>9.2499999999999964</v>
      </c>
      <c r="C187" s="2">
        <v>0</v>
      </c>
    </row>
    <row r="188" spans="2:3" x14ac:dyDescent="0.3">
      <c r="B188" s="2">
        <f t="shared" si="2"/>
        <v>9.2999999999999972</v>
      </c>
      <c r="C188" s="2">
        <v>0</v>
      </c>
    </row>
    <row r="189" spans="2:3" x14ac:dyDescent="0.3">
      <c r="B189" s="2">
        <f t="shared" si="2"/>
        <v>9.3499999999999979</v>
      </c>
      <c r="C189" s="2">
        <v>0</v>
      </c>
    </row>
    <row r="190" spans="2:3" x14ac:dyDescent="0.3">
      <c r="B190" s="2">
        <f t="shared" si="2"/>
        <v>9.3999999999999986</v>
      </c>
      <c r="C190" s="2">
        <v>0</v>
      </c>
    </row>
    <row r="191" spans="2:3" x14ac:dyDescent="0.3">
      <c r="B191" s="2">
        <f t="shared" si="2"/>
        <v>9.4499999999999993</v>
      </c>
      <c r="C191" s="2">
        <v>0</v>
      </c>
    </row>
    <row r="192" spans="2:3" x14ac:dyDescent="0.3">
      <c r="B192" s="2">
        <f t="shared" si="2"/>
        <v>9.5</v>
      </c>
      <c r="C192" s="2">
        <v>0</v>
      </c>
    </row>
    <row r="193" spans="2:3" x14ac:dyDescent="0.3">
      <c r="B193" s="2">
        <f t="shared" si="2"/>
        <v>9.5500000000000007</v>
      </c>
      <c r="C193" s="2">
        <v>0</v>
      </c>
    </row>
    <row r="194" spans="2:3" x14ac:dyDescent="0.3">
      <c r="B194" s="2">
        <f t="shared" si="2"/>
        <v>9.6000000000000014</v>
      </c>
      <c r="C194" s="2">
        <v>0</v>
      </c>
    </row>
    <row r="195" spans="2:3" x14ac:dyDescent="0.3">
      <c r="B195" s="2">
        <f t="shared" si="2"/>
        <v>9.6500000000000021</v>
      </c>
      <c r="C195" s="2">
        <v>0</v>
      </c>
    </row>
    <row r="196" spans="2:3" x14ac:dyDescent="0.3">
      <c r="B196" s="2">
        <f t="shared" ref="B196:B259" si="3">B195+0.05</f>
        <v>9.7000000000000028</v>
      </c>
      <c r="C196" s="2">
        <v>0</v>
      </c>
    </row>
    <row r="197" spans="2:3" x14ac:dyDescent="0.3">
      <c r="B197" s="2">
        <f t="shared" si="3"/>
        <v>9.7500000000000036</v>
      </c>
      <c r="C197" s="2">
        <v>0</v>
      </c>
    </row>
    <row r="198" spans="2:3" x14ac:dyDescent="0.3">
      <c r="B198" s="2">
        <f t="shared" si="3"/>
        <v>9.8000000000000043</v>
      </c>
      <c r="C198" s="2">
        <v>0</v>
      </c>
    </row>
    <row r="199" spans="2:3" x14ac:dyDescent="0.3">
      <c r="B199" s="2">
        <f t="shared" si="3"/>
        <v>9.850000000000005</v>
      </c>
      <c r="C199" s="2">
        <v>0</v>
      </c>
    </row>
    <row r="200" spans="2:3" x14ac:dyDescent="0.3">
      <c r="B200" s="2">
        <f t="shared" si="3"/>
        <v>9.9000000000000057</v>
      </c>
      <c r="C200" s="2">
        <v>0</v>
      </c>
    </row>
    <row r="201" spans="2:3" x14ac:dyDescent="0.3">
      <c r="B201" s="2">
        <f t="shared" si="3"/>
        <v>9.9500000000000064</v>
      </c>
      <c r="C201" s="2">
        <v>0</v>
      </c>
    </row>
    <row r="202" spans="2:3" x14ac:dyDescent="0.3">
      <c r="B202" s="2">
        <f t="shared" si="3"/>
        <v>10.000000000000007</v>
      </c>
      <c r="C202" s="2">
        <v>0</v>
      </c>
    </row>
    <row r="203" spans="2:3" x14ac:dyDescent="0.3">
      <c r="B203" s="2">
        <f t="shared" si="3"/>
        <v>10.050000000000008</v>
      </c>
      <c r="C203" s="2">
        <v>0</v>
      </c>
    </row>
    <row r="204" spans="2:3" x14ac:dyDescent="0.3">
      <c r="B204" s="2">
        <f t="shared" si="3"/>
        <v>10.100000000000009</v>
      </c>
      <c r="C204" s="2">
        <v>0</v>
      </c>
    </row>
    <row r="205" spans="2:3" x14ac:dyDescent="0.3">
      <c r="B205" s="2">
        <f t="shared" si="3"/>
        <v>10.150000000000009</v>
      </c>
      <c r="C205" s="2">
        <v>0</v>
      </c>
    </row>
    <row r="206" spans="2:3" x14ac:dyDescent="0.3">
      <c r="B206" s="2">
        <f t="shared" si="3"/>
        <v>10.20000000000001</v>
      </c>
      <c r="C206" s="2">
        <v>0</v>
      </c>
    </row>
    <row r="207" spans="2:3" x14ac:dyDescent="0.3">
      <c r="B207" s="2">
        <f t="shared" si="3"/>
        <v>10.250000000000011</v>
      </c>
      <c r="C207" s="2">
        <v>0</v>
      </c>
    </row>
    <row r="208" spans="2:3" x14ac:dyDescent="0.3">
      <c r="B208" s="2">
        <f t="shared" si="3"/>
        <v>10.300000000000011</v>
      </c>
      <c r="C208" s="2">
        <v>0</v>
      </c>
    </row>
    <row r="209" spans="2:3" x14ac:dyDescent="0.3">
      <c r="B209" s="2">
        <f t="shared" si="3"/>
        <v>10.350000000000012</v>
      </c>
      <c r="C209" s="2">
        <v>0</v>
      </c>
    </row>
    <row r="210" spans="2:3" x14ac:dyDescent="0.3">
      <c r="B210" s="2">
        <f t="shared" si="3"/>
        <v>10.400000000000013</v>
      </c>
      <c r="C210" s="2">
        <v>0</v>
      </c>
    </row>
    <row r="211" spans="2:3" x14ac:dyDescent="0.3">
      <c r="B211" s="2">
        <f t="shared" si="3"/>
        <v>10.450000000000014</v>
      </c>
      <c r="C211" s="2">
        <v>0</v>
      </c>
    </row>
    <row r="212" spans="2:3" x14ac:dyDescent="0.3">
      <c r="B212" s="2">
        <f t="shared" si="3"/>
        <v>10.500000000000014</v>
      </c>
      <c r="C212" s="2">
        <v>0</v>
      </c>
    </row>
    <row r="213" spans="2:3" x14ac:dyDescent="0.3">
      <c r="B213" s="2">
        <f t="shared" si="3"/>
        <v>10.550000000000015</v>
      </c>
      <c r="C213" s="2">
        <v>0</v>
      </c>
    </row>
    <row r="214" spans="2:3" x14ac:dyDescent="0.3">
      <c r="B214" s="2">
        <f t="shared" si="3"/>
        <v>10.600000000000016</v>
      </c>
      <c r="C214" s="2">
        <v>0</v>
      </c>
    </row>
    <row r="215" spans="2:3" x14ac:dyDescent="0.3">
      <c r="B215" s="2">
        <f t="shared" si="3"/>
        <v>10.650000000000016</v>
      </c>
      <c r="C215" s="2">
        <v>0</v>
      </c>
    </row>
    <row r="216" spans="2:3" x14ac:dyDescent="0.3">
      <c r="B216" s="2">
        <f t="shared" si="3"/>
        <v>10.700000000000017</v>
      </c>
      <c r="C216" s="2">
        <v>0</v>
      </c>
    </row>
    <row r="217" spans="2:3" x14ac:dyDescent="0.3">
      <c r="B217" s="2">
        <f t="shared" si="3"/>
        <v>10.750000000000018</v>
      </c>
      <c r="C217" s="2">
        <v>0</v>
      </c>
    </row>
    <row r="218" spans="2:3" x14ac:dyDescent="0.3">
      <c r="B218" s="2">
        <f t="shared" si="3"/>
        <v>10.800000000000018</v>
      </c>
      <c r="C218" s="2">
        <v>0</v>
      </c>
    </row>
    <row r="219" spans="2:3" x14ac:dyDescent="0.3">
      <c r="B219" s="2">
        <f t="shared" si="3"/>
        <v>10.850000000000019</v>
      </c>
      <c r="C219" s="2">
        <v>0</v>
      </c>
    </row>
    <row r="220" spans="2:3" x14ac:dyDescent="0.3">
      <c r="B220" s="2">
        <f t="shared" si="3"/>
        <v>10.90000000000002</v>
      </c>
      <c r="C220" s="2">
        <v>0</v>
      </c>
    </row>
    <row r="221" spans="2:3" x14ac:dyDescent="0.3">
      <c r="B221" s="2">
        <f t="shared" si="3"/>
        <v>10.950000000000021</v>
      </c>
      <c r="C221" s="2">
        <v>0</v>
      </c>
    </row>
    <row r="222" spans="2:3" x14ac:dyDescent="0.3">
      <c r="B222" s="2">
        <f t="shared" si="3"/>
        <v>11.000000000000021</v>
      </c>
      <c r="C222" s="2">
        <v>0</v>
      </c>
    </row>
    <row r="223" spans="2:3" x14ac:dyDescent="0.3">
      <c r="B223" s="2">
        <f t="shared" si="3"/>
        <v>11.050000000000022</v>
      </c>
      <c r="C223" s="2">
        <v>0</v>
      </c>
    </row>
    <row r="224" spans="2:3" x14ac:dyDescent="0.3">
      <c r="B224" s="2">
        <f t="shared" si="3"/>
        <v>11.100000000000023</v>
      </c>
      <c r="C224" s="2">
        <v>0</v>
      </c>
    </row>
    <row r="225" spans="2:3" x14ac:dyDescent="0.3">
      <c r="B225" s="2">
        <f t="shared" si="3"/>
        <v>11.150000000000023</v>
      </c>
      <c r="C225" s="2">
        <v>0</v>
      </c>
    </row>
    <row r="226" spans="2:3" x14ac:dyDescent="0.3">
      <c r="B226" s="2">
        <f t="shared" si="3"/>
        <v>11.200000000000024</v>
      </c>
      <c r="C226" s="2">
        <v>0</v>
      </c>
    </row>
    <row r="227" spans="2:3" x14ac:dyDescent="0.3">
      <c r="B227" s="2">
        <f t="shared" si="3"/>
        <v>11.250000000000025</v>
      </c>
      <c r="C227" s="2">
        <v>0</v>
      </c>
    </row>
    <row r="228" spans="2:3" x14ac:dyDescent="0.3">
      <c r="B228" s="2">
        <f t="shared" si="3"/>
        <v>11.300000000000026</v>
      </c>
      <c r="C228" s="2">
        <v>0</v>
      </c>
    </row>
    <row r="229" spans="2:3" x14ac:dyDescent="0.3">
      <c r="B229" s="2">
        <f t="shared" si="3"/>
        <v>11.350000000000026</v>
      </c>
      <c r="C229" s="2">
        <v>0</v>
      </c>
    </row>
    <row r="230" spans="2:3" x14ac:dyDescent="0.3">
      <c r="B230" s="2">
        <f t="shared" si="3"/>
        <v>11.400000000000027</v>
      </c>
      <c r="C230" s="2">
        <v>0</v>
      </c>
    </row>
    <row r="231" spans="2:3" x14ac:dyDescent="0.3">
      <c r="B231" s="2">
        <f t="shared" si="3"/>
        <v>11.450000000000028</v>
      </c>
      <c r="C231" s="2">
        <v>0</v>
      </c>
    </row>
    <row r="232" spans="2:3" x14ac:dyDescent="0.3">
      <c r="B232" s="2">
        <f t="shared" si="3"/>
        <v>11.500000000000028</v>
      </c>
      <c r="C232" s="2">
        <v>0</v>
      </c>
    </row>
    <row r="233" spans="2:3" x14ac:dyDescent="0.3">
      <c r="B233" s="2">
        <f t="shared" si="3"/>
        <v>11.550000000000029</v>
      </c>
      <c r="C233" s="2">
        <v>0</v>
      </c>
    </row>
    <row r="234" spans="2:3" x14ac:dyDescent="0.3">
      <c r="B234" s="2">
        <f t="shared" si="3"/>
        <v>11.60000000000003</v>
      </c>
      <c r="C234" s="2">
        <v>0</v>
      </c>
    </row>
    <row r="235" spans="2:3" x14ac:dyDescent="0.3">
      <c r="B235" s="2">
        <f t="shared" si="3"/>
        <v>11.650000000000031</v>
      </c>
      <c r="C235" s="2">
        <v>0</v>
      </c>
    </row>
    <row r="236" spans="2:3" x14ac:dyDescent="0.3">
      <c r="B236" s="2">
        <f t="shared" si="3"/>
        <v>11.700000000000031</v>
      </c>
      <c r="C236" s="2">
        <v>0</v>
      </c>
    </row>
    <row r="237" spans="2:3" x14ac:dyDescent="0.3">
      <c r="B237" s="2">
        <f t="shared" si="3"/>
        <v>11.750000000000032</v>
      </c>
      <c r="C237" s="2">
        <v>0</v>
      </c>
    </row>
    <row r="238" spans="2:3" x14ac:dyDescent="0.3">
      <c r="B238" s="2">
        <f t="shared" si="3"/>
        <v>11.800000000000033</v>
      </c>
      <c r="C238" s="2">
        <v>0</v>
      </c>
    </row>
    <row r="239" spans="2:3" x14ac:dyDescent="0.3">
      <c r="B239" s="2">
        <f t="shared" si="3"/>
        <v>11.850000000000033</v>
      </c>
      <c r="C239" s="2">
        <v>0</v>
      </c>
    </row>
    <row r="240" spans="2:3" x14ac:dyDescent="0.3">
      <c r="B240" s="2">
        <f t="shared" si="3"/>
        <v>11.900000000000034</v>
      </c>
      <c r="C240" s="2">
        <v>0</v>
      </c>
    </row>
    <row r="241" spans="2:3" x14ac:dyDescent="0.3">
      <c r="B241" s="2">
        <f t="shared" si="3"/>
        <v>11.950000000000035</v>
      </c>
      <c r="C241" s="2">
        <v>0</v>
      </c>
    </row>
    <row r="242" spans="2:3" x14ac:dyDescent="0.3">
      <c r="B242" s="2">
        <f t="shared" si="3"/>
        <v>12.000000000000036</v>
      </c>
      <c r="C242" s="2">
        <v>0</v>
      </c>
    </row>
    <row r="243" spans="2:3" x14ac:dyDescent="0.3">
      <c r="B243" s="2">
        <f t="shared" si="3"/>
        <v>12.050000000000036</v>
      </c>
      <c r="C243" s="2">
        <v>0</v>
      </c>
    </row>
    <row r="244" spans="2:3" x14ac:dyDescent="0.3">
      <c r="B244" s="2">
        <f t="shared" si="3"/>
        <v>12.100000000000037</v>
      </c>
      <c r="C244" s="2">
        <v>0</v>
      </c>
    </row>
    <row r="245" spans="2:3" x14ac:dyDescent="0.3">
      <c r="B245" s="2">
        <f t="shared" si="3"/>
        <v>12.150000000000038</v>
      </c>
      <c r="C245" s="2">
        <v>0</v>
      </c>
    </row>
    <row r="246" spans="2:3" x14ac:dyDescent="0.3">
      <c r="B246" s="2">
        <f t="shared" si="3"/>
        <v>12.200000000000038</v>
      </c>
      <c r="C246" s="2">
        <v>0</v>
      </c>
    </row>
    <row r="247" spans="2:3" x14ac:dyDescent="0.3">
      <c r="B247" s="2">
        <f t="shared" si="3"/>
        <v>12.250000000000039</v>
      </c>
      <c r="C247" s="2">
        <v>0</v>
      </c>
    </row>
    <row r="248" spans="2:3" x14ac:dyDescent="0.3">
      <c r="B248" s="2">
        <f t="shared" si="3"/>
        <v>12.30000000000004</v>
      </c>
      <c r="C248" s="2">
        <v>0</v>
      </c>
    </row>
    <row r="249" spans="2:3" x14ac:dyDescent="0.3">
      <c r="B249" s="2">
        <f t="shared" si="3"/>
        <v>12.350000000000041</v>
      </c>
      <c r="C249" s="2">
        <v>0</v>
      </c>
    </row>
    <row r="250" spans="2:3" x14ac:dyDescent="0.3">
      <c r="B250" s="2">
        <f t="shared" si="3"/>
        <v>12.400000000000041</v>
      </c>
      <c r="C250" s="2">
        <v>0</v>
      </c>
    </row>
    <row r="251" spans="2:3" x14ac:dyDescent="0.3">
      <c r="B251" s="2">
        <f t="shared" si="3"/>
        <v>12.450000000000042</v>
      </c>
      <c r="C251" s="2">
        <v>0</v>
      </c>
    </row>
    <row r="252" spans="2:3" x14ac:dyDescent="0.3">
      <c r="B252" s="2">
        <f t="shared" si="3"/>
        <v>12.500000000000043</v>
      </c>
      <c r="C252" s="2">
        <v>0</v>
      </c>
    </row>
    <row r="253" spans="2:3" x14ac:dyDescent="0.3">
      <c r="B253" s="2">
        <f t="shared" si="3"/>
        <v>12.550000000000043</v>
      </c>
      <c r="C253" s="2">
        <v>0</v>
      </c>
    </row>
    <row r="254" spans="2:3" x14ac:dyDescent="0.3">
      <c r="B254" s="2">
        <f t="shared" si="3"/>
        <v>12.600000000000044</v>
      </c>
      <c r="C254" s="2">
        <v>0</v>
      </c>
    </row>
    <row r="255" spans="2:3" x14ac:dyDescent="0.3">
      <c r="B255" s="2">
        <f t="shared" si="3"/>
        <v>12.650000000000045</v>
      </c>
      <c r="C255" s="2">
        <v>0</v>
      </c>
    </row>
    <row r="256" spans="2:3" x14ac:dyDescent="0.3">
      <c r="B256" s="2">
        <f t="shared" si="3"/>
        <v>12.700000000000045</v>
      </c>
      <c r="C256" s="2">
        <v>0</v>
      </c>
    </row>
    <row r="257" spans="2:3" x14ac:dyDescent="0.3">
      <c r="B257" s="2">
        <f t="shared" si="3"/>
        <v>12.750000000000046</v>
      </c>
      <c r="C257" s="2">
        <v>0</v>
      </c>
    </row>
    <row r="258" spans="2:3" x14ac:dyDescent="0.3">
      <c r="B258" s="2">
        <f t="shared" si="3"/>
        <v>12.800000000000047</v>
      </c>
      <c r="C258" s="2">
        <v>0</v>
      </c>
    </row>
    <row r="259" spans="2:3" x14ac:dyDescent="0.3">
      <c r="B259" s="2">
        <f t="shared" si="3"/>
        <v>12.850000000000048</v>
      </c>
      <c r="C259" s="2">
        <v>0</v>
      </c>
    </row>
    <row r="260" spans="2:3" x14ac:dyDescent="0.3">
      <c r="B260" s="2">
        <f t="shared" ref="B260:B323" si="4">B259+0.05</f>
        <v>12.900000000000048</v>
      </c>
      <c r="C260" s="2">
        <v>0</v>
      </c>
    </row>
    <row r="261" spans="2:3" x14ac:dyDescent="0.3">
      <c r="B261" s="2">
        <f t="shared" si="4"/>
        <v>12.950000000000049</v>
      </c>
      <c r="C261" s="2">
        <v>0</v>
      </c>
    </row>
    <row r="262" spans="2:3" x14ac:dyDescent="0.3">
      <c r="B262" s="2">
        <f t="shared" si="4"/>
        <v>13.00000000000005</v>
      </c>
      <c r="C262" s="2">
        <v>0</v>
      </c>
    </row>
    <row r="263" spans="2:3" x14ac:dyDescent="0.3">
      <c r="B263" s="2">
        <f t="shared" si="4"/>
        <v>13.05000000000005</v>
      </c>
      <c r="C263" s="2">
        <v>0</v>
      </c>
    </row>
    <row r="264" spans="2:3" x14ac:dyDescent="0.3">
      <c r="B264" s="2">
        <f t="shared" si="4"/>
        <v>13.100000000000051</v>
      </c>
      <c r="C264" s="2">
        <v>0</v>
      </c>
    </row>
    <row r="265" spans="2:3" x14ac:dyDescent="0.3">
      <c r="B265" s="2">
        <f t="shared" si="4"/>
        <v>13.150000000000052</v>
      </c>
      <c r="C265" s="2">
        <v>0</v>
      </c>
    </row>
    <row r="266" spans="2:3" x14ac:dyDescent="0.3">
      <c r="B266" s="2">
        <f t="shared" si="4"/>
        <v>13.200000000000053</v>
      </c>
      <c r="C266" s="2">
        <v>0</v>
      </c>
    </row>
    <row r="267" spans="2:3" x14ac:dyDescent="0.3">
      <c r="B267" s="2">
        <f t="shared" si="4"/>
        <v>13.250000000000053</v>
      </c>
      <c r="C267" s="2">
        <v>0</v>
      </c>
    </row>
    <row r="268" spans="2:3" x14ac:dyDescent="0.3">
      <c r="B268" s="2">
        <f t="shared" si="4"/>
        <v>13.300000000000054</v>
      </c>
      <c r="C268" s="2">
        <v>0</v>
      </c>
    </row>
    <row r="269" spans="2:3" x14ac:dyDescent="0.3">
      <c r="B269" s="2">
        <f t="shared" si="4"/>
        <v>13.350000000000055</v>
      </c>
      <c r="C269" s="2">
        <v>0</v>
      </c>
    </row>
    <row r="270" spans="2:3" x14ac:dyDescent="0.3">
      <c r="B270" s="2">
        <f t="shared" si="4"/>
        <v>13.400000000000055</v>
      </c>
      <c r="C270" s="2">
        <v>0</v>
      </c>
    </row>
    <row r="271" spans="2:3" x14ac:dyDescent="0.3">
      <c r="B271" s="2">
        <f t="shared" si="4"/>
        <v>13.450000000000056</v>
      </c>
      <c r="C271" s="2">
        <v>0</v>
      </c>
    </row>
    <row r="272" spans="2:3" x14ac:dyDescent="0.3">
      <c r="B272" s="2">
        <f t="shared" si="4"/>
        <v>13.500000000000057</v>
      </c>
      <c r="C272" s="2">
        <v>0</v>
      </c>
    </row>
    <row r="273" spans="2:3" x14ac:dyDescent="0.3">
      <c r="B273" s="2">
        <f t="shared" si="4"/>
        <v>13.550000000000058</v>
      </c>
      <c r="C273" s="2">
        <v>0</v>
      </c>
    </row>
    <row r="274" spans="2:3" x14ac:dyDescent="0.3">
      <c r="B274" s="2">
        <f t="shared" si="4"/>
        <v>13.600000000000058</v>
      </c>
      <c r="C274" s="2">
        <v>0</v>
      </c>
    </row>
    <row r="275" spans="2:3" x14ac:dyDescent="0.3">
      <c r="B275" s="2">
        <f t="shared" si="4"/>
        <v>13.650000000000059</v>
      </c>
      <c r="C275" s="2">
        <v>0</v>
      </c>
    </row>
    <row r="276" spans="2:3" x14ac:dyDescent="0.3">
      <c r="B276" s="2">
        <f t="shared" si="4"/>
        <v>13.70000000000006</v>
      </c>
      <c r="C276" s="2">
        <v>0</v>
      </c>
    </row>
    <row r="277" spans="2:3" x14ac:dyDescent="0.3">
      <c r="B277" s="2">
        <f t="shared" si="4"/>
        <v>13.75000000000006</v>
      </c>
      <c r="C277" s="2">
        <v>0</v>
      </c>
    </row>
    <row r="278" spans="2:3" x14ac:dyDescent="0.3">
      <c r="B278" s="2">
        <f t="shared" si="4"/>
        <v>13.800000000000061</v>
      </c>
      <c r="C278" s="2">
        <v>0</v>
      </c>
    </row>
    <row r="279" spans="2:3" x14ac:dyDescent="0.3">
      <c r="B279" s="2">
        <f t="shared" si="4"/>
        <v>13.850000000000062</v>
      </c>
      <c r="C279" s="2">
        <v>0</v>
      </c>
    </row>
    <row r="280" spans="2:3" x14ac:dyDescent="0.3">
      <c r="B280" s="2">
        <f t="shared" si="4"/>
        <v>13.900000000000063</v>
      </c>
      <c r="C280" s="2">
        <v>0</v>
      </c>
    </row>
    <row r="281" spans="2:3" x14ac:dyDescent="0.3">
      <c r="B281" s="2">
        <f t="shared" si="4"/>
        <v>13.950000000000063</v>
      </c>
      <c r="C281" s="2">
        <v>0</v>
      </c>
    </row>
    <row r="282" spans="2:3" x14ac:dyDescent="0.3">
      <c r="B282" s="2">
        <f t="shared" si="4"/>
        <v>14.000000000000064</v>
      </c>
      <c r="C282" s="2">
        <v>0</v>
      </c>
    </row>
    <row r="283" spans="2:3" x14ac:dyDescent="0.3">
      <c r="B283" s="2">
        <f t="shared" si="4"/>
        <v>14.050000000000065</v>
      </c>
      <c r="C283" s="2">
        <v>0</v>
      </c>
    </row>
    <row r="284" spans="2:3" x14ac:dyDescent="0.3">
      <c r="B284" s="2">
        <f t="shared" si="4"/>
        <v>14.100000000000065</v>
      </c>
      <c r="C284" s="2">
        <v>0</v>
      </c>
    </row>
    <row r="285" spans="2:3" x14ac:dyDescent="0.3">
      <c r="B285" s="2">
        <f t="shared" si="4"/>
        <v>14.150000000000066</v>
      </c>
      <c r="C285" s="2">
        <v>0</v>
      </c>
    </row>
    <row r="286" spans="2:3" x14ac:dyDescent="0.3">
      <c r="B286" s="2">
        <f t="shared" si="4"/>
        <v>14.200000000000067</v>
      </c>
      <c r="C286" s="2">
        <v>0</v>
      </c>
    </row>
    <row r="287" spans="2:3" x14ac:dyDescent="0.3">
      <c r="B287" s="2">
        <f t="shared" si="4"/>
        <v>14.250000000000068</v>
      </c>
      <c r="C287" s="2">
        <v>0</v>
      </c>
    </row>
    <row r="288" spans="2:3" x14ac:dyDescent="0.3">
      <c r="B288" s="2">
        <f t="shared" si="4"/>
        <v>14.300000000000068</v>
      </c>
      <c r="C288" s="2">
        <v>0</v>
      </c>
    </row>
    <row r="289" spans="2:3" x14ac:dyDescent="0.3">
      <c r="B289" s="2">
        <f t="shared" si="4"/>
        <v>14.350000000000069</v>
      </c>
      <c r="C289" s="2">
        <v>0</v>
      </c>
    </row>
    <row r="290" spans="2:3" x14ac:dyDescent="0.3">
      <c r="B290" s="2">
        <f t="shared" si="4"/>
        <v>14.40000000000007</v>
      </c>
      <c r="C290" s="2">
        <v>0</v>
      </c>
    </row>
    <row r="291" spans="2:3" x14ac:dyDescent="0.3">
      <c r="B291" s="2">
        <f t="shared" si="4"/>
        <v>14.45000000000007</v>
      </c>
      <c r="C291" s="2">
        <v>0</v>
      </c>
    </row>
    <row r="292" spans="2:3" x14ac:dyDescent="0.3">
      <c r="B292" s="2">
        <f t="shared" si="4"/>
        <v>14.500000000000071</v>
      </c>
      <c r="C292" s="2">
        <v>0</v>
      </c>
    </row>
    <row r="293" spans="2:3" x14ac:dyDescent="0.3">
      <c r="B293" s="2">
        <f t="shared" si="4"/>
        <v>14.550000000000072</v>
      </c>
      <c r="C293" s="2">
        <v>0</v>
      </c>
    </row>
    <row r="294" spans="2:3" x14ac:dyDescent="0.3">
      <c r="B294" s="2">
        <f t="shared" si="4"/>
        <v>14.600000000000072</v>
      </c>
      <c r="C294" s="2">
        <v>0</v>
      </c>
    </row>
    <row r="295" spans="2:3" x14ac:dyDescent="0.3">
      <c r="B295" s="2">
        <f t="shared" si="4"/>
        <v>14.650000000000073</v>
      </c>
      <c r="C295" s="2">
        <v>0</v>
      </c>
    </row>
    <row r="296" spans="2:3" x14ac:dyDescent="0.3">
      <c r="B296" s="2">
        <f t="shared" si="4"/>
        <v>14.700000000000074</v>
      </c>
      <c r="C296" s="2">
        <v>0</v>
      </c>
    </row>
    <row r="297" spans="2:3" x14ac:dyDescent="0.3">
      <c r="B297" s="2">
        <f t="shared" si="4"/>
        <v>14.750000000000075</v>
      </c>
      <c r="C297" s="2">
        <v>0</v>
      </c>
    </row>
    <row r="298" spans="2:3" x14ac:dyDescent="0.3">
      <c r="B298" s="2">
        <f t="shared" si="4"/>
        <v>14.800000000000075</v>
      </c>
      <c r="C298" s="2">
        <v>0</v>
      </c>
    </row>
    <row r="299" spans="2:3" x14ac:dyDescent="0.3">
      <c r="B299" s="2">
        <f t="shared" si="4"/>
        <v>14.850000000000076</v>
      </c>
      <c r="C299" s="2">
        <v>0</v>
      </c>
    </row>
    <row r="300" spans="2:3" x14ac:dyDescent="0.3">
      <c r="B300" s="2">
        <f t="shared" si="4"/>
        <v>14.900000000000077</v>
      </c>
      <c r="C300" s="2">
        <v>0</v>
      </c>
    </row>
    <row r="301" spans="2:3" x14ac:dyDescent="0.3">
      <c r="B301" s="2">
        <f t="shared" si="4"/>
        <v>14.950000000000077</v>
      </c>
      <c r="C301" s="2">
        <v>0</v>
      </c>
    </row>
    <row r="302" spans="2:3" x14ac:dyDescent="0.3">
      <c r="B302" s="2">
        <f t="shared" si="4"/>
        <v>15.000000000000078</v>
      </c>
      <c r="C302" s="2">
        <v>0</v>
      </c>
    </row>
    <row r="303" spans="2:3" x14ac:dyDescent="0.3">
      <c r="B303" s="2">
        <f t="shared" si="4"/>
        <v>15.050000000000079</v>
      </c>
      <c r="C303" s="2">
        <v>0</v>
      </c>
    </row>
    <row r="304" spans="2:3" x14ac:dyDescent="0.3">
      <c r="B304" s="2">
        <f t="shared" si="4"/>
        <v>15.10000000000008</v>
      </c>
      <c r="C304" s="2">
        <v>0</v>
      </c>
    </row>
    <row r="305" spans="2:3" x14ac:dyDescent="0.3">
      <c r="B305" s="2">
        <f t="shared" si="4"/>
        <v>15.15000000000008</v>
      </c>
      <c r="C305" s="2">
        <v>0</v>
      </c>
    </row>
    <row r="306" spans="2:3" x14ac:dyDescent="0.3">
      <c r="B306" s="2">
        <f t="shared" si="4"/>
        <v>15.200000000000081</v>
      </c>
      <c r="C306" s="2">
        <v>0</v>
      </c>
    </row>
    <row r="307" spans="2:3" x14ac:dyDescent="0.3">
      <c r="B307" s="2">
        <f t="shared" si="4"/>
        <v>15.250000000000082</v>
      </c>
      <c r="C307" s="2">
        <v>0</v>
      </c>
    </row>
    <row r="308" spans="2:3" x14ac:dyDescent="0.3">
      <c r="B308" s="2">
        <f t="shared" si="4"/>
        <v>15.300000000000082</v>
      </c>
      <c r="C308" s="2">
        <v>0</v>
      </c>
    </row>
    <row r="309" spans="2:3" x14ac:dyDescent="0.3">
      <c r="B309" s="2">
        <f t="shared" si="4"/>
        <v>15.350000000000083</v>
      </c>
      <c r="C309" s="2">
        <v>0</v>
      </c>
    </row>
    <row r="310" spans="2:3" x14ac:dyDescent="0.3">
      <c r="B310" s="2">
        <f t="shared" si="4"/>
        <v>15.400000000000084</v>
      </c>
      <c r="C310" s="2">
        <v>0</v>
      </c>
    </row>
    <row r="311" spans="2:3" x14ac:dyDescent="0.3">
      <c r="B311" s="2">
        <f t="shared" si="4"/>
        <v>15.450000000000085</v>
      </c>
      <c r="C311" s="2">
        <v>0</v>
      </c>
    </row>
    <row r="312" spans="2:3" x14ac:dyDescent="0.3">
      <c r="B312" s="2">
        <f t="shared" si="4"/>
        <v>15.500000000000085</v>
      </c>
      <c r="C312" s="2">
        <v>0</v>
      </c>
    </row>
    <row r="313" spans="2:3" x14ac:dyDescent="0.3">
      <c r="B313" s="2">
        <f t="shared" si="4"/>
        <v>15.550000000000086</v>
      </c>
      <c r="C313" s="2">
        <v>0</v>
      </c>
    </row>
    <row r="314" spans="2:3" x14ac:dyDescent="0.3">
      <c r="B314" s="2">
        <f t="shared" si="4"/>
        <v>15.600000000000087</v>
      </c>
      <c r="C314" s="2">
        <v>0</v>
      </c>
    </row>
    <row r="315" spans="2:3" x14ac:dyDescent="0.3">
      <c r="B315" s="2">
        <f t="shared" si="4"/>
        <v>15.650000000000087</v>
      </c>
      <c r="C315" s="2">
        <v>0</v>
      </c>
    </row>
    <row r="316" spans="2:3" x14ac:dyDescent="0.3">
      <c r="B316" s="2">
        <f t="shared" si="4"/>
        <v>15.700000000000088</v>
      </c>
      <c r="C316" s="2">
        <v>0</v>
      </c>
    </row>
    <row r="317" spans="2:3" x14ac:dyDescent="0.3">
      <c r="B317" s="2">
        <f t="shared" si="4"/>
        <v>15.750000000000089</v>
      </c>
      <c r="C317" s="2">
        <v>0</v>
      </c>
    </row>
    <row r="318" spans="2:3" x14ac:dyDescent="0.3">
      <c r="B318" s="2">
        <f t="shared" si="4"/>
        <v>15.80000000000009</v>
      </c>
      <c r="C318" s="2">
        <v>0</v>
      </c>
    </row>
    <row r="319" spans="2:3" x14ac:dyDescent="0.3">
      <c r="B319" s="2">
        <f t="shared" si="4"/>
        <v>15.85000000000009</v>
      </c>
      <c r="C319" s="2">
        <v>0</v>
      </c>
    </row>
    <row r="320" spans="2:3" x14ac:dyDescent="0.3">
      <c r="B320" s="2">
        <f t="shared" si="4"/>
        <v>15.900000000000091</v>
      </c>
      <c r="C320" s="2">
        <v>0</v>
      </c>
    </row>
    <row r="321" spans="2:3" x14ac:dyDescent="0.3">
      <c r="B321" s="2">
        <f t="shared" si="4"/>
        <v>15.950000000000092</v>
      </c>
      <c r="C321" s="2">
        <v>0</v>
      </c>
    </row>
    <row r="322" spans="2:3" x14ac:dyDescent="0.3">
      <c r="B322" s="2">
        <f t="shared" si="4"/>
        <v>16.000000000000092</v>
      </c>
      <c r="C322" s="2">
        <v>0</v>
      </c>
    </row>
    <row r="323" spans="2:3" x14ac:dyDescent="0.3">
      <c r="B323" s="2">
        <f t="shared" si="4"/>
        <v>16.050000000000093</v>
      </c>
      <c r="C323" s="2">
        <v>0</v>
      </c>
    </row>
    <row r="324" spans="2:3" x14ac:dyDescent="0.3">
      <c r="B324" s="2">
        <f t="shared" ref="B324:B387" si="5">B323+0.05</f>
        <v>16.100000000000094</v>
      </c>
      <c r="C324" s="2">
        <v>0</v>
      </c>
    </row>
    <row r="325" spans="2:3" x14ac:dyDescent="0.3">
      <c r="B325" s="2">
        <f t="shared" si="5"/>
        <v>16.150000000000095</v>
      </c>
      <c r="C325" s="2">
        <v>0</v>
      </c>
    </row>
    <row r="326" spans="2:3" x14ac:dyDescent="0.3">
      <c r="B326" s="2">
        <f t="shared" si="5"/>
        <v>16.200000000000095</v>
      </c>
      <c r="C326" s="2">
        <v>0</v>
      </c>
    </row>
    <row r="327" spans="2:3" x14ac:dyDescent="0.3">
      <c r="B327" s="2">
        <f t="shared" si="5"/>
        <v>16.250000000000096</v>
      </c>
      <c r="C327" s="2">
        <v>0</v>
      </c>
    </row>
    <row r="328" spans="2:3" x14ac:dyDescent="0.3">
      <c r="B328" s="2">
        <f t="shared" si="5"/>
        <v>16.300000000000097</v>
      </c>
      <c r="C328" s="2">
        <v>0</v>
      </c>
    </row>
    <row r="329" spans="2:3" x14ac:dyDescent="0.3">
      <c r="B329" s="2">
        <f t="shared" si="5"/>
        <v>16.350000000000097</v>
      </c>
      <c r="C329" s="2">
        <v>0</v>
      </c>
    </row>
    <row r="330" spans="2:3" x14ac:dyDescent="0.3">
      <c r="B330" s="2">
        <f t="shared" si="5"/>
        <v>16.400000000000098</v>
      </c>
      <c r="C330" s="2">
        <v>0</v>
      </c>
    </row>
    <row r="331" spans="2:3" x14ac:dyDescent="0.3">
      <c r="B331" s="2">
        <f t="shared" si="5"/>
        <v>16.450000000000099</v>
      </c>
      <c r="C331" s="2">
        <v>0</v>
      </c>
    </row>
    <row r="332" spans="2:3" x14ac:dyDescent="0.3">
      <c r="B332" s="2">
        <f t="shared" si="5"/>
        <v>16.500000000000099</v>
      </c>
      <c r="C332" s="2">
        <v>0</v>
      </c>
    </row>
    <row r="333" spans="2:3" x14ac:dyDescent="0.3">
      <c r="B333" s="2">
        <f t="shared" si="5"/>
        <v>16.5500000000001</v>
      </c>
      <c r="C333" s="2">
        <v>0</v>
      </c>
    </row>
    <row r="334" spans="2:3" x14ac:dyDescent="0.3">
      <c r="B334" s="2">
        <f t="shared" si="5"/>
        <v>16.600000000000101</v>
      </c>
      <c r="C334" s="2">
        <v>0</v>
      </c>
    </row>
    <row r="335" spans="2:3" x14ac:dyDescent="0.3">
      <c r="B335" s="2">
        <f t="shared" si="5"/>
        <v>16.650000000000102</v>
      </c>
      <c r="C335" s="2">
        <v>0</v>
      </c>
    </row>
    <row r="336" spans="2:3" x14ac:dyDescent="0.3">
      <c r="B336" s="2">
        <f t="shared" si="5"/>
        <v>16.700000000000102</v>
      </c>
      <c r="C336" s="2">
        <v>0</v>
      </c>
    </row>
    <row r="337" spans="2:3" x14ac:dyDescent="0.3">
      <c r="B337" s="2">
        <f t="shared" si="5"/>
        <v>16.750000000000103</v>
      </c>
      <c r="C337" s="2">
        <v>0</v>
      </c>
    </row>
    <row r="338" spans="2:3" x14ac:dyDescent="0.3">
      <c r="B338" s="2">
        <f t="shared" si="5"/>
        <v>16.800000000000104</v>
      </c>
      <c r="C338" s="2">
        <v>0</v>
      </c>
    </row>
    <row r="339" spans="2:3" x14ac:dyDescent="0.3">
      <c r="B339" s="2">
        <f t="shared" si="5"/>
        <v>16.850000000000104</v>
      </c>
      <c r="C339" s="2">
        <v>0</v>
      </c>
    </row>
    <row r="340" spans="2:3" x14ac:dyDescent="0.3">
      <c r="B340" s="2">
        <f t="shared" si="5"/>
        <v>16.900000000000105</v>
      </c>
      <c r="C340" s="2">
        <v>0</v>
      </c>
    </row>
    <row r="341" spans="2:3" x14ac:dyDescent="0.3">
      <c r="B341" s="2">
        <f t="shared" si="5"/>
        <v>16.950000000000106</v>
      </c>
      <c r="C341" s="2">
        <v>0</v>
      </c>
    </row>
    <row r="342" spans="2:3" x14ac:dyDescent="0.3">
      <c r="B342" s="2">
        <f t="shared" si="5"/>
        <v>17.000000000000107</v>
      </c>
      <c r="C342" s="2">
        <v>0</v>
      </c>
    </row>
    <row r="343" spans="2:3" x14ac:dyDescent="0.3">
      <c r="B343" s="2">
        <f t="shared" si="5"/>
        <v>17.050000000000107</v>
      </c>
      <c r="C343" s="2">
        <v>0</v>
      </c>
    </row>
    <row r="344" spans="2:3" x14ac:dyDescent="0.3">
      <c r="B344" s="2">
        <f t="shared" si="5"/>
        <v>17.100000000000108</v>
      </c>
      <c r="C344" s="2">
        <v>0</v>
      </c>
    </row>
    <row r="345" spans="2:3" x14ac:dyDescent="0.3">
      <c r="B345" s="2">
        <f t="shared" si="5"/>
        <v>17.150000000000109</v>
      </c>
      <c r="C345" s="2">
        <v>0</v>
      </c>
    </row>
    <row r="346" spans="2:3" x14ac:dyDescent="0.3">
      <c r="B346" s="2">
        <f t="shared" si="5"/>
        <v>17.200000000000109</v>
      </c>
      <c r="C346" s="2">
        <v>0</v>
      </c>
    </row>
    <row r="347" spans="2:3" x14ac:dyDescent="0.3">
      <c r="B347" s="2">
        <f t="shared" si="5"/>
        <v>17.25000000000011</v>
      </c>
      <c r="C347" s="2">
        <v>0</v>
      </c>
    </row>
    <row r="348" spans="2:3" x14ac:dyDescent="0.3">
      <c r="B348" s="2">
        <f t="shared" si="5"/>
        <v>17.300000000000111</v>
      </c>
      <c r="C348" s="2">
        <v>0</v>
      </c>
    </row>
    <row r="349" spans="2:3" x14ac:dyDescent="0.3">
      <c r="B349" s="2">
        <f t="shared" si="5"/>
        <v>17.350000000000112</v>
      </c>
      <c r="C349" s="2">
        <v>0</v>
      </c>
    </row>
    <row r="350" spans="2:3" x14ac:dyDescent="0.3">
      <c r="B350" s="2">
        <f t="shared" si="5"/>
        <v>17.400000000000112</v>
      </c>
      <c r="C350" s="2">
        <v>0</v>
      </c>
    </row>
    <row r="351" spans="2:3" x14ac:dyDescent="0.3">
      <c r="B351" s="2">
        <f t="shared" si="5"/>
        <v>17.450000000000113</v>
      </c>
      <c r="C351" s="2">
        <v>0</v>
      </c>
    </row>
    <row r="352" spans="2:3" x14ac:dyDescent="0.3">
      <c r="B352" s="2">
        <f t="shared" si="5"/>
        <v>17.500000000000114</v>
      </c>
      <c r="C352" s="2">
        <v>0</v>
      </c>
    </row>
    <row r="353" spans="2:3" x14ac:dyDescent="0.3">
      <c r="B353" s="2">
        <f t="shared" si="5"/>
        <v>17.550000000000114</v>
      </c>
      <c r="C353" s="2">
        <v>0</v>
      </c>
    </row>
    <row r="354" spans="2:3" x14ac:dyDescent="0.3">
      <c r="B354" s="2">
        <f t="shared" si="5"/>
        <v>17.600000000000115</v>
      </c>
      <c r="C354" s="2">
        <v>0</v>
      </c>
    </row>
    <row r="355" spans="2:3" x14ac:dyDescent="0.3">
      <c r="B355" s="2">
        <f t="shared" si="5"/>
        <v>17.650000000000116</v>
      </c>
      <c r="C355" s="2">
        <v>0</v>
      </c>
    </row>
    <row r="356" spans="2:3" x14ac:dyDescent="0.3">
      <c r="B356" s="2">
        <f t="shared" si="5"/>
        <v>17.700000000000117</v>
      </c>
      <c r="C356" s="2">
        <v>0</v>
      </c>
    </row>
    <row r="357" spans="2:3" x14ac:dyDescent="0.3">
      <c r="B357" s="2">
        <f t="shared" si="5"/>
        <v>17.750000000000117</v>
      </c>
      <c r="C357" s="2">
        <v>0</v>
      </c>
    </row>
    <row r="358" spans="2:3" x14ac:dyDescent="0.3">
      <c r="B358" s="2">
        <f t="shared" si="5"/>
        <v>17.800000000000118</v>
      </c>
      <c r="C358" s="2">
        <v>0</v>
      </c>
    </row>
    <row r="359" spans="2:3" x14ac:dyDescent="0.3">
      <c r="B359" s="2">
        <f t="shared" si="5"/>
        <v>17.850000000000119</v>
      </c>
      <c r="C359" s="2">
        <v>0</v>
      </c>
    </row>
    <row r="360" spans="2:3" x14ac:dyDescent="0.3">
      <c r="B360" s="2">
        <f t="shared" si="5"/>
        <v>17.900000000000119</v>
      </c>
      <c r="C360" s="2">
        <v>0</v>
      </c>
    </row>
    <row r="361" spans="2:3" x14ac:dyDescent="0.3">
      <c r="B361" s="2">
        <f t="shared" si="5"/>
        <v>17.95000000000012</v>
      </c>
      <c r="C361" s="2">
        <v>0</v>
      </c>
    </row>
    <row r="362" spans="2:3" x14ac:dyDescent="0.3">
      <c r="B362" s="2">
        <f t="shared" si="5"/>
        <v>18.000000000000121</v>
      </c>
      <c r="C362" s="2">
        <v>0</v>
      </c>
    </row>
    <row r="363" spans="2:3" x14ac:dyDescent="0.3">
      <c r="B363" s="2">
        <f t="shared" si="5"/>
        <v>18.050000000000122</v>
      </c>
      <c r="C363" s="2">
        <v>0</v>
      </c>
    </row>
    <row r="364" spans="2:3" x14ac:dyDescent="0.3">
      <c r="B364" s="2">
        <f t="shared" si="5"/>
        <v>18.100000000000122</v>
      </c>
      <c r="C364" s="2">
        <v>0</v>
      </c>
    </row>
    <row r="365" spans="2:3" x14ac:dyDescent="0.3">
      <c r="B365" s="2">
        <f t="shared" si="5"/>
        <v>18.150000000000123</v>
      </c>
      <c r="C365" s="2">
        <v>0</v>
      </c>
    </row>
    <row r="366" spans="2:3" x14ac:dyDescent="0.3">
      <c r="B366" s="2">
        <f t="shared" si="5"/>
        <v>18.200000000000124</v>
      </c>
      <c r="C366" s="2">
        <v>0</v>
      </c>
    </row>
    <row r="367" spans="2:3" x14ac:dyDescent="0.3">
      <c r="B367" s="2">
        <f t="shared" si="5"/>
        <v>18.250000000000124</v>
      </c>
      <c r="C367" s="2">
        <v>0</v>
      </c>
    </row>
    <row r="368" spans="2:3" x14ac:dyDescent="0.3">
      <c r="B368" s="2">
        <f t="shared" si="5"/>
        <v>18.300000000000125</v>
      </c>
      <c r="C368" s="2">
        <v>0</v>
      </c>
    </row>
    <row r="369" spans="2:3" x14ac:dyDescent="0.3">
      <c r="B369" s="2">
        <f t="shared" si="5"/>
        <v>18.350000000000126</v>
      </c>
      <c r="C369" s="2">
        <v>0</v>
      </c>
    </row>
    <row r="370" spans="2:3" x14ac:dyDescent="0.3">
      <c r="B370" s="2">
        <f t="shared" si="5"/>
        <v>18.400000000000126</v>
      </c>
      <c r="C370" s="2">
        <v>0</v>
      </c>
    </row>
    <row r="371" spans="2:3" x14ac:dyDescent="0.3">
      <c r="B371" s="2">
        <f t="shared" si="5"/>
        <v>18.450000000000127</v>
      </c>
      <c r="C371" s="2">
        <v>0</v>
      </c>
    </row>
    <row r="372" spans="2:3" x14ac:dyDescent="0.3">
      <c r="B372" s="2">
        <f t="shared" si="5"/>
        <v>18.500000000000128</v>
      </c>
      <c r="C372" s="2">
        <v>0</v>
      </c>
    </row>
    <row r="373" spans="2:3" x14ac:dyDescent="0.3">
      <c r="B373" s="2">
        <f t="shared" si="5"/>
        <v>18.550000000000129</v>
      </c>
      <c r="C373" s="2">
        <v>0</v>
      </c>
    </row>
    <row r="374" spans="2:3" x14ac:dyDescent="0.3">
      <c r="B374" s="2">
        <f t="shared" si="5"/>
        <v>18.600000000000129</v>
      </c>
      <c r="C374" s="2">
        <v>0</v>
      </c>
    </row>
    <row r="375" spans="2:3" x14ac:dyDescent="0.3">
      <c r="B375" s="2">
        <f t="shared" si="5"/>
        <v>18.65000000000013</v>
      </c>
      <c r="C375" s="2">
        <v>0</v>
      </c>
    </row>
    <row r="376" spans="2:3" x14ac:dyDescent="0.3">
      <c r="B376" s="2">
        <f t="shared" si="5"/>
        <v>18.700000000000131</v>
      </c>
      <c r="C376" s="2">
        <v>0</v>
      </c>
    </row>
    <row r="377" spans="2:3" x14ac:dyDescent="0.3">
      <c r="B377" s="2">
        <f t="shared" si="5"/>
        <v>18.750000000000131</v>
      </c>
      <c r="C377" s="2">
        <v>0</v>
      </c>
    </row>
    <row r="378" spans="2:3" x14ac:dyDescent="0.3">
      <c r="B378" s="2">
        <f t="shared" si="5"/>
        <v>18.800000000000132</v>
      </c>
      <c r="C378" s="2">
        <v>0</v>
      </c>
    </row>
    <row r="379" spans="2:3" x14ac:dyDescent="0.3">
      <c r="B379" s="2">
        <f t="shared" si="5"/>
        <v>18.850000000000133</v>
      </c>
      <c r="C379" s="2">
        <v>0</v>
      </c>
    </row>
    <row r="380" spans="2:3" x14ac:dyDescent="0.3">
      <c r="B380" s="2">
        <f t="shared" si="5"/>
        <v>18.900000000000134</v>
      </c>
      <c r="C380" s="2">
        <v>0</v>
      </c>
    </row>
    <row r="381" spans="2:3" x14ac:dyDescent="0.3">
      <c r="B381" s="2">
        <f t="shared" si="5"/>
        <v>18.950000000000134</v>
      </c>
      <c r="C381" s="2">
        <v>0</v>
      </c>
    </row>
    <row r="382" spans="2:3" x14ac:dyDescent="0.3">
      <c r="B382" s="2">
        <f t="shared" si="5"/>
        <v>19.000000000000135</v>
      </c>
      <c r="C382" s="2">
        <v>0</v>
      </c>
    </row>
    <row r="383" spans="2:3" x14ac:dyDescent="0.3">
      <c r="B383" s="2">
        <f t="shared" si="5"/>
        <v>19.050000000000136</v>
      </c>
      <c r="C383" s="2">
        <v>0</v>
      </c>
    </row>
    <row r="384" spans="2:3" x14ac:dyDescent="0.3">
      <c r="B384" s="2">
        <f t="shared" si="5"/>
        <v>19.100000000000136</v>
      </c>
      <c r="C384" s="2">
        <v>0</v>
      </c>
    </row>
    <row r="385" spans="2:3" x14ac:dyDescent="0.3">
      <c r="B385" s="2">
        <f t="shared" si="5"/>
        <v>19.150000000000137</v>
      </c>
      <c r="C385" s="2">
        <v>0</v>
      </c>
    </row>
    <row r="386" spans="2:3" x14ac:dyDescent="0.3">
      <c r="B386" s="2">
        <f t="shared" si="5"/>
        <v>19.200000000000138</v>
      </c>
      <c r="C386" s="2">
        <v>0</v>
      </c>
    </row>
    <row r="387" spans="2:3" x14ac:dyDescent="0.3">
      <c r="B387" s="2">
        <f t="shared" si="5"/>
        <v>19.250000000000139</v>
      </c>
      <c r="C387" s="2">
        <v>0</v>
      </c>
    </row>
    <row r="388" spans="2:3" x14ac:dyDescent="0.3">
      <c r="B388" s="2">
        <f t="shared" ref="B388:B402" si="6">B387+0.05</f>
        <v>19.300000000000139</v>
      </c>
      <c r="C388" s="2">
        <v>0</v>
      </c>
    </row>
    <row r="389" spans="2:3" x14ac:dyDescent="0.3">
      <c r="B389" s="2">
        <f t="shared" si="6"/>
        <v>19.35000000000014</v>
      </c>
      <c r="C389" s="2">
        <v>0</v>
      </c>
    </row>
    <row r="390" spans="2:3" x14ac:dyDescent="0.3">
      <c r="B390" s="2">
        <f t="shared" si="6"/>
        <v>19.400000000000141</v>
      </c>
      <c r="C390" s="2">
        <v>0</v>
      </c>
    </row>
    <row r="391" spans="2:3" x14ac:dyDescent="0.3">
      <c r="B391" s="2">
        <f t="shared" si="6"/>
        <v>19.450000000000141</v>
      </c>
      <c r="C391" s="2">
        <v>0</v>
      </c>
    </row>
    <row r="392" spans="2:3" x14ac:dyDescent="0.3">
      <c r="B392" s="2">
        <f t="shared" si="6"/>
        <v>19.500000000000142</v>
      </c>
      <c r="C392" s="2">
        <v>0</v>
      </c>
    </row>
    <row r="393" spans="2:3" x14ac:dyDescent="0.3">
      <c r="B393" s="2">
        <f t="shared" si="6"/>
        <v>19.550000000000143</v>
      </c>
      <c r="C393" s="2">
        <v>0</v>
      </c>
    </row>
    <row r="394" spans="2:3" x14ac:dyDescent="0.3">
      <c r="B394" s="2">
        <f t="shared" si="6"/>
        <v>19.600000000000144</v>
      </c>
      <c r="C394" s="2">
        <v>0</v>
      </c>
    </row>
    <row r="395" spans="2:3" x14ac:dyDescent="0.3">
      <c r="B395" s="2">
        <f t="shared" si="6"/>
        <v>19.650000000000144</v>
      </c>
      <c r="C395" s="2">
        <v>0</v>
      </c>
    </row>
    <row r="396" spans="2:3" x14ac:dyDescent="0.3">
      <c r="B396" s="2">
        <f t="shared" si="6"/>
        <v>19.700000000000145</v>
      </c>
      <c r="C396" s="2">
        <v>0</v>
      </c>
    </row>
    <row r="397" spans="2:3" x14ac:dyDescent="0.3">
      <c r="B397" s="2">
        <f t="shared" si="6"/>
        <v>19.750000000000146</v>
      </c>
      <c r="C397" s="2">
        <v>0</v>
      </c>
    </row>
    <row r="398" spans="2:3" x14ac:dyDescent="0.3">
      <c r="B398" s="2">
        <f t="shared" si="6"/>
        <v>19.800000000000146</v>
      </c>
      <c r="C398" s="2">
        <v>0</v>
      </c>
    </row>
    <row r="399" spans="2:3" x14ac:dyDescent="0.3">
      <c r="B399" s="2">
        <f t="shared" si="6"/>
        <v>19.850000000000147</v>
      </c>
      <c r="C399" s="2">
        <v>0</v>
      </c>
    </row>
    <row r="400" spans="2:3" x14ac:dyDescent="0.3">
      <c r="B400" s="2">
        <f t="shared" si="6"/>
        <v>19.900000000000148</v>
      </c>
      <c r="C400" s="2">
        <v>0</v>
      </c>
    </row>
    <row r="401" spans="2:3" x14ac:dyDescent="0.3">
      <c r="B401" s="2">
        <f t="shared" si="6"/>
        <v>19.950000000000149</v>
      </c>
      <c r="C401" s="2">
        <v>0</v>
      </c>
    </row>
    <row r="402" spans="2:3" x14ac:dyDescent="0.3">
      <c r="B402" s="2">
        <f t="shared" si="6"/>
        <v>20.000000000000149</v>
      </c>
      <c r="C402" s="2">
        <v>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df4aa68-f68e-46f6-9bcf-d997da09633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1DA753C68AC4489DA4FFDFDEACBBC3" ma:contentTypeVersion="9" ma:contentTypeDescription="Create a new document." ma:contentTypeScope="" ma:versionID="ca20b7a155e5df1aa6b14ff4c8324cd9">
  <xsd:schema xmlns:xsd="http://www.w3.org/2001/XMLSchema" xmlns:xs="http://www.w3.org/2001/XMLSchema" xmlns:p="http://schemas.microsoft.com/office/2006/metadata/properties" xmlns:ns3="1df4aa68-f68e-46f6-9bcf-d997da096333" xmlns:ns4="c7e9ad05-0834-4b8b-a3fe-cc50fcc29a08" targetNamespace="http://schemas.microsoft.com/office/2006/metadata/properties" ma:root="true" ma:fieldsID="ec8df4ebf02e055349fd652bb360a7f9" ns3:_="" ns4:_="">
    <xsd:import namespace="1df4aa68-f68e-46f6-9bcf-d997da096333"/>
    <xsd:import namespace="c7e9ad05-0834-4b8b-a3fe-cc50fcc29a0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f4aa68-f68e-46f6-9bcf-d997da0963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e9ad05-0834-4b8b-a3fe-cc50fcc29a0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B5D500-B2EA-4054-A3ED-E1734C213C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DA8598B-E857-4EA0-97B3-D027AB52CAE1}">
  <ds:schemaRefs>
    <ds:schemaRef ds:uri="c7e9ad05-0834-4b8b-a3fe-cc50fcc29a08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1df4aa68-f68e-46f6-9bcf-d997da096333"/>
    <ds:schemaRef ds:uri="http://schemas.microsoft.com/office/infopath/2007/PartnerControl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68242E6-10B0-4C64-B2EA-D3388411E6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f4aa68-f68e-46f6-9bcf-d997da096333"/>
    <ds:schemaRef ds:uri="c7e9ad05-0834-4b8b-a3fe-cc50fcc29a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1HZ - Tot Analysis</vt:lpstr>
      <vt:lpstr>20HZ - Tot Analysis</vt:lpstr>
      <vt:lpstr>TEMPLATE 1HZ - GLU Data</vt:lpstr>
      <vt:lpstr>TEMPLATE 1HZ - BHB Data</vt:lpstr>
      <vt:lpstr>TEMPLATE 20HZ - GLU Data</vt:lpstr>
      <vt:lpstr>TEMPLATE 20HZ - BHB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Harvey, Davin</dc:creator>
  <cp:lastModifiedBy>Harvey, Davin</cp:lastModifiedBy>
  <dcterms:created xsi:type="dcterms:W3CDTF">2025-06-16T16:03:02Z</dcterms:created>
  <dcterms:modified xsi:type="dcterms:W3CDTF">2026-05-09T18:26:53Z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0x010100131DA753C68AC4489DA4FFDFDEACBBC3</vt:lpwstr>
  </property>
</Properties>
</file>